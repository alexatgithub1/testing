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Curves" sheetId="2" r:id="rId5"/>
    <sheet state="visible" name="Baseline_Decay" sheetId="3" r:id="rId6"/>
    <sheet state="visible" name="Cohort_Summary" sheetId="4" r:id="rId7"/>
    <sheet state="visible" name="Acquisition_Plan" sheetId="5" r:id="rId8"/>
    <sheet state="visible" name="New_Cohort_Rev" sheetId="6" r:id="rId9"/>
    <sheet state="visible" name="New_Cohort_WD" sheetId="7" r:id="rId10"/>
    <sheet state="visible" name="PVX_Detail" sheetId="8" r:id="rId11"/>
    <sheet state="visible" name="PVX_Summary" sheetId="9" r:id="rId12"/>
    <sheet state="visible" name="Cashflow" sheetId="10" r:id="rId13"/>
    <sheet state="visible" name="Raw_Weekly" sheetId="11" r:id="rId14"/>
  </sheets>
  <definedNames/>
  <calcPr/>
  <extLst>
    <ext uri="GoogleSheetsCustomDataVersion2">
      <go:sheetsCustomData xmlns:go="http://customooxmlschemas.google.com/" r:id="rId15" roundtripDataChecksum="gXrrXD5W+pXfCnP14oXHNt/9WByPz2w7MpsKuPXLoz4="/>
    </ext>
  </extLst>
</workbook>
</file>

<file path=xl/sharedStrings.xml><?xml version="1.0" encoding="utf-8"?>
<sst xmlns="http://schemas.openxmlformats.org/spreadsheetml/2006/main" count="1073" uniqueCount="381">
  <si>
    <t>Ember Scaling Model v6.8</t>
  </si>
  <si>
    <t>CASH</t>
  </si>
  <si>
    <t>Starting cash ($)</t>
  </si>
  <si>
    <t>Fixed costs monthly ($)</t>
  </si>
  <si>
    <t>CREDIT CARD</t>
  </si>
  <si>
    <t>CC limit ($)</t>
  </si>
  <si>
    <t>PVX CAPITAL</t>
  </si>
  <si>
    <t>PVX interest rate</t>
  </si>
  <si>
    <t>FORECAST</t>
  </si>
  <si>
    <t>Projected ROAS@36</t>
  </si>
  <si>
    <t>Projected WD ratio</t>
  </si>
  <si>
    <t>GAMING ECONOMICS</t>
  </si>
  <si>
    <t>Wager volume per $1 net receipts</t>
  </si>
  <si>
    <t>Blended house edge</t>
  </si>
  <si>
    <t>% wager from 3rd party games</t>
  </si>
  <si>
    <t>3rd party house edge cost</t>
  </si>
  <si>
    <t>AGENCY FEES</t>
  </si>
  <si>
    <t>Agency fee rate</t>
  </si>
  <si>
    <t>% of ad spend via agency</t>
  </si>
  <si>
    <t>PVX Terms:</t>
  </si>
  <si>
    <t>- PVX gets 100% of net rev until payback (Cum Paid &gt;= Draw)</t>
  </si>
  <si>
    <t>- After payback, PVX gets 50% + interest until cap</t>
  </si>
  <si>
    <t>- Cap = Draw × (1 + Interest Rate)</t>
  </si>
  <si>
    <t>- After cap hit, Company keeps 100%</t>
  </si>
  <si>
    <t>3rd Party Cost Formula:</t>
  </si>
  <si>
    <t>Total Receipts × Wager/Receipts × House Edge × 3rd Party % × Edge Cost</t>
  </si>
  <si>
    <t>Revenue Curves</t>
  </si>
  <si>
    <t>0.5% flat tail per month from month 13-36</t>
  </si>
  <si>
    <t>Age</t>
  </si>
  <si>
    <t>Cum R%</t>
  </si>
  <si>
    <t>Inc R%</t>
  </si>
  <si>
    <t>Cum W%</t>
  </si>
  <si>
    <t>Inc W%</t>
  </si>
  <si>
    <t>Baseline Decay (Fixed Schedule)</t>
  </si>
  <si>
    <t>Month</t>
  </si>
  <si>
    <t>Receipts</t>
  </si>
  <si>
    <t>WD</t>
  </si>
  <si>
    <t>Net</t>
  </si>
  <si>
    <t>Monthly Cohort Summary</t>
  </si>
  <si>
    <t>Cohort</t>
  </si>
  <si>
    <t>Spend</t>
  </si>
  <si>
    <t>Users</t>
  </si>
  <si>
    <t>CAC</t>
  </si>
  <si>
    <t>Age (wks)</t>
  </si>
  <si>
    <t>Current ROAS</t>
  </si>
  <si>
    <t>Proj ROAS</t>
  </si>
  <si>
    <t>Curr Payback</t>
  </si>
  <si>
    <t>Proj Payback</t>
  </si>
  <si>
    <t>WD Ratio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</si>
  <si>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</si>
  <si>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</si>
  <si>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</si>
  <si>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</si>
  <si>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</si>
  <si>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</si>
  <si>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</si>
  <si>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</si>
  <si>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</si>
  <si>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</si>
  <si>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Acquisition Plan</t>
  </si>
  <si>
    <t>Total Spend</t>
  </si>
  <si>
    <t>Use CC</t>
  </si>
  <si>
    <t>CC Spend</t>
  </si>
  <si>
    <t>PVX Spend</t>
  </si>
  <si>
    <t>Cash Spend</t>
  </si>
  <si>
    <t>2026-02-01</t>
  </si>
  <si>
    <t>2026-03-03</t>
  </si>
  <si>
    <t>2026-04-02</t>
  </si>
  <si>
    <t>2026-05-02</t>
  </si>
  <si>
    <t>2026-06-01</t>
  </si>
  <si>
    <t>2026-07-01</t>
  </si>
  <si>
    <t>2026-07-31</t>
  </si>
  <si>
    <t>2026-08-30</t>
  </si>
  <si>
    <t>2026-09-29</t>
  </si>
  <si>
    <t>2026-10-29</t>
  </si>
  <si>
    <t>2026-11-28</t>
  </si>
  <si>
    <t>2026-12-28</t>
  </si>
  <si>
    <t>2027-01-27</t>
  </si>
  <si>
    <t>2027-02-26</t>
  </si>
  <si>
    <t>2027-03-28</t>
  </si>
  <si>
    <t>2027-04-27</t>
  </si>
  <si>
    <t>2027-05-27</t>
  </si>
  <si>
    <t>2027-06-26</t>
  </si>
  <si>
    <t>2027-07-26</t>
  </si>
  <si>
    <t>2027-08-25</t>
  </si>
  <si>
    <t>2027-09-24</t>
  </si>
  <si>
    <t>2027-10-24</t>
  </si>
  <si>
    <t>2027-11-23</t>
  </si>
  <si>
    <t>2027-12-23</t>
  </si>
  <si>
    <t>2028-01-22</t>
  </si>
  <si>
    <t>2028-02-21</t>
  </si>
  <si>
    <t>2028-03-22</t>
  </si>
  <si>
    <t>2028-04-21</t>
  </si>
  <si>
    <t>2028-05-21</t>
  </si>
  <si>
    <t>2028-06-20</t>
  </si>
  <si>
    <t>2028-07-20</t>
  </si>
  <si>
    <t>2028-08-19</t>
  </si>
  <si>
    <t>2028-09-18</t>
  </si>
  <si>
    <t>2028-10-18</t>
  </si>
  <si>
    <t>2028-11-17</t>
  </si>
  <si>
    <t>2028-12-17</t>
  </si>
  <si>
    <t>New Cohort Revenue (All Sources)</t>
  </si>
  <si>
    <t>Spend = CC + Cash + PVX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</si>
  <si>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</si>
  <si>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</si>
  <si>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</si>
  <si>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</si>
  <si>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</si>
  <si>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</si>
  <si>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</si>
  <si>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</si>
  <si>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</si>
  <si>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</si>
  <si>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</si>
  <si>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</si>
  <si>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</si>
  <si>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</si>
  <si>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</si>
  <si>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</si>
  <si>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</si>
  <si>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</si>
  <si>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</si>
  <si>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</si>
  <si>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</si>
  <si>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</si>
  <si>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</si>
  <si>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</si>
  <si>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</si>
  <si>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</si>
  <si>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</si>
  <si>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</si>
  <si>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</si>
  <si>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</si>
  <si>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</si>
  <si>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</si>
  <si>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</si>
  <si>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</si>
  <si>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</si>
  <si>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</si>
  <si>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TOTAL</t>
  </si>
  <si>
    <t>New Cohort Withdrawals (All Sources)</t>
  </si>
  <si>
    <t>PVX Cohort Waterfall</t>
  </si>
  <si>
    <t>Before payback: PVX gets 100% of net rev</t>
  </si>
  <si>
    <t>After payback: PVX gets 50% of net + interest, until cap</t>
  </si>
  <si>
    <t>Cap = Draw × (1 + Interest Rate). After cap: Company keeps 100%</t>
  </si>
  <si>
    <t>PVX Draw</t>
  </si>
  <si>
    <t>Cap</t>
  </si>
  <si>
    <t>This Mo Net</t>
  </si>
  <si>
    <t>Payback?</t>
  </si>
  <si>
    <t>"N"</t>
  </si>
  <si>
    <t>Interest</t>
  </si>
  <si>
    <t>PVX Gets</t>
  </si>
  <si>
    <t>Cum Paid</t>
  </si>
  <si>
    <t>Cap Hit?</t>
  </si>
  <si>
    <t>Co Gets</t>
  </si>
  <si>
    <t>PVX Monthly Summary</t>
  </si>
  <si>
    <t>Company Gets</t>
  </si>
  <si>
    <t>Monthly Cash Flow</t>
  </si>
  <si>
    <t>Note: PVX Draw not in Tot In (received and spent immediately on ads)</t>
  </si>
  <si>
    <t>Start Cash</t>
  </si>
  <si>
    <t>Base Rcpts</t>
  </si>
  <si>
    <t>Base WD</t>
  </si>
  <si>
    <t>Base Net</t>
  </si>
  <si>
    <t>New Rcpts</t>
  </si>
  <si>
    <t>New WD</t>
  </si>
  <si>
    <t>New Net</t>
  </si>
  <si>
    <t>PVX Paid</t>
  </si>
  <si>
    <t>Co PVX Net</t>
  </si>
  <si>
    <t>Tot Rcpts</t>
  </si>
  <si>
    <t>Wager Vol</t>
  </si>
  <si>
    <t>3P Game Cost</t>
  </si>
  <si>
    <t>Agency Fee</t>
  </si>
  <si>
    <t>Fixed</t>
  </si>
  <si>
    <t>Cash Spd</t>
  </si>
  <si>
    <t>CC Repay</t>
  </si>
  <si>
    <t>Tot In</t>
  </si>
  <si>
    <t>Tot Out</t>
  </si>
  <si>
    <t>Net Chg</t>
  </si>
  <si>
    <t>End Cash</t>
  </si>
  <si>
    <t>Raw Weekly Data</t>
  </si>
  <si>
    <t>cohort_month</t>
  </si>
  <si>
    <t>age_week</t>
  </si>
  <si>
    <t>event_week</t>
  </si>
  <si>
    <t>cohort_users</t>
  </si>
  <si>
    <t>spend_usd</t>
  </si>
  <si>
    <t>free_prediction_revenue_usd</t>
  </si>
  <si>
    <t>surveys_revenue_usd</t>
  </si>
  <si>
    <t>subscriptions_net_revenue_usd</t>
  </si>
  <si>
    <t>iap_net_receipts_usd</t>
  </si>
  <si>
    <t>net_receipts_usd</t>
  </si>
  <si>
    <t>cum_net_receipts_usd</t>
  </si>
  <si>
    <t>roas_net_receipts</t>
  </si>
  <si>
    <t>off_platform_withdrawal_usd</t>
  </si>
  <si>
    <t>net_rev_usd</t>
  </si>
  <si>
    <t>cum_net_rev_usd</t>
  </si>
  <si>
    <t>payback_week</t>
  </si>
  <si>
    <t>2025-04-08</t>
  </si>
  <si>
    <t>2025-04-15</t>
  </si>
  <si>
    <t>2025-04-22</t>
  </si>
  <si>
    <t>2025-04-29</t>
  </si>
  <si>
    <t>2025-05-06</t>
  </si>
  <si>
    <t>2025-05-13</t>
  </si>
  <si>
    <t>2025-05-20</t>
  </si>
  <si>
    <t>2025-05-27</t>
  </si>
  <si>
    <t>2025-06-03</t>
  </si>
  <si>
    <t>2025-06-10</t>
  </si>
  <si>
    <t>2025-06-17</t>
  </si>
  <si>
    <t>2025-06-24</t>
  </si>
  <si>
    <t>2025-07-08</t>
  </si>
  <si>
    <t>2025-07-15</t>
  </si>
  <si>
    <t>2025-07-22</t>
  </si>
  <si>
    <t>2025-07-29</t>
  </si>
  <si>
    <t>2025-08-05</t>
  </si>
  <si>
    <t>2025-08-12</t>
  </si>
  <si>
    <t>2025-08-19</t>
  </si>
  <si>
    <t>2025-08-26</t>
  </si>
  <si>
    <t>2025-09-02</t>
  </si>
  <si>
    <t>2025-09-09</t>
  </si>
  <si>
    <t>2025-09-16</t>
  </si>
  <si>
    <t>2025-09-23</t>
  </si>
  <si>
    <t>2025-09-30</t>
  </si>
  <si>
    <t>2025-10-07</t>
  </si>
  <si>
    <t>2025-10-14</t>
  </si>
  <si>
    <t>2025-10-21</t>
  </si>
  <si>
    <t>2025-10-28</t>
  </si>
  <si>
    <t>2025-11-04</t>
  </si>
  <si>
    <t>2025-11-11</t>
  </si>
  <si>
    <t>2025-11-18</t>
  </si>
  <si>
    <t>2025-11-25</t>
  </si>
  <si>
    <t>2025-12-02</t>
  </si>
  <si>
    <t>2025-12-09</t>
  </si>
  <si>
    <t>2025-12-16</t>
  </si>
  <si>
    <t>2025-12-23</t>
  </si>
  <si>
    <t>2025-12-30</t>
  </si>
  <si>
    <t>2026-01-06</t>
  </si>
  <si>
    <t>2026-01-13</t>
  </si>
  <si>
    <t>2026-01-20</t>
  </si>
  <si>
    <t>2025-05-08</t>
  </si>
  <si>
    <t>2025-05-15</t>
  </si>
  <si>
    <t>2025-05-22</t>
  </si>
  <si>
    <t>2025-05-29</t>
  </si>
  <si>
    <t>2025-06-05</t>
  </si>
  <si>
    <t>2025-06-12</t>
  </si>
  <si>
    <t>2025-06-19</t>
  </si>
  <si>
    <t>2025-06-26</t>
  </si>
  <si>
    <t>2025-07-03</t>
  </si>
  <si>
    <t>2025-07-10</t>
  </si>
  <si>
    <t>2025-07-17</t>
  </si>
  <si>
    <t>2025-07-24</t>
  </si>
  <si>
    <t>2025-07-31</t>
  </si>
  <si>
    <t>2025-08-07</t>
  </si>
  <si>
    <t>2025-08-14</t>
  </si>
  <si>
    <t>2025-08-21</t>
  </si>
  <si>
    <t>2025-08-28</t>
  </si>
  <si>
    <t>2025-09-04</t>
  </si>
  <si>
    <t>2025-09-11</t>
  </si>
  <si>
    <t>2025-09-18</t>
  </si>
  <si>
    <t>2025-09-25</t>
  </si>
  <si>
    <t>2025-10-02</t>
  </si>
  <si>
    <t>2025-10-09</t>
  </si>
  <si>
    <t>2025-10-16</t>
  </si>
  <si>
    <t>2025-10-23</t>
  </si>
  <si>
    <t>2025-10-30</t>
  </si>
  <si>
    <t>2025-11-06</t>
  </si>
  <si>
    <t>2025-11-13</t>
  </si>
  <si>
    <t>2025-11-20</t>
  </si>
  <si>
    <t>2025-11-27</t>
  </si>
  <si>
    <t>2025-12-04</t>
  </si>
  <si>
    <t>2025-12-11</t>
  </si>
  <si>
    <t>2025-12-18</t>
  </si>
  <si>
    <t>2025-12-25</t>
  </si>
  <si>
    <t>2026-01-08</t>
  </si>
  <si>
    <t>2026-01-15</t>
  </si>
  <si>
    <t>2026-01-22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</si>
  <si>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</si>
  <si>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</si>
  <si>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</si>
  <si>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</si>
  <si>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</si>
  <si>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</si>
  <si>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</si>
  <si>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</si>
  <si>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</si>
  <si>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</si>
  <si>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</si>
  <si>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</si>
  <si>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</si>
  <si>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</si>
  <si>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</si>
  <si>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</si>
  <si>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</si>
  <si>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</si>
  <si>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</si>
  <si>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</si>
  <si>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</si>
  <si>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</si>
  <si>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</si>
  <si>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</si>
  <si>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</si>
  <si>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</si>
  <si>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</si>
  <si>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</si>
  <si>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</si>
  <si>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</si>
  <si>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</si>
  <si>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</si>
  <si>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</si>
  <si>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</si>
  <si>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</si>
  <si>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</si>
  <si>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</si>
  <si>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</si>
  <si>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</si>
  <si>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</si>
  <si>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</si>
  <si>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</si>
  <si>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</si>
  <si>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</si>
  <si>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</si>
  <si>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</si>
  <si>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</si>
  <si>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</si>
  <si>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</si>
  <si>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</si>
  <si>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</si>
  <si>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</si>
  <si>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</si>
  <si>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</si>
  <si>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</si>
  <si>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</si>
  <si>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</si>
  <si>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</si>
  <si>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</si>
  <si>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</si>
  <si>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</si>
  <si>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</si>
  <si>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</si>
  <si>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</si>
  <si>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</si>
  <si>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</si>
  <si>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</si>
  <si>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</si>
  <si>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</si>
  <si>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</si>
  <si>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</si>
  <si>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</si>
  <si>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</si>
  <si>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</si>
  <si>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</si>
  <si>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</si>
  <si>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</si>
  <si>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</si>
  <si>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</si>
  <si>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</si>
  <si>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</si>
  <si>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</si>
  <si>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</si>
  <si>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</si>
  <si>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</si>
  <si>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</si>
  <si>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2025-11-26</t>
  </si>
  <si>
    <t>2025-12-03</t>
  </si>
  <si>
    <t>2025-12-10</t>
  </si>
  <si>
    <t>2025-12-17</t>
  </si>
  <si>
    <t>2025-12-24</t>
  </si>
  <si>
    <t>2025-12-31</t>
  </si>
  <si>
    <t>2026-01-07</t>
  </si>
  <si>
    <t>2026-01-14</t>
  </si>
  <si>
    <t>2026-01-21</t>
  </si>
  <si>
    <t>2025-11-08</t>
  </si>
  <si>
    <t>2025-11-15</t>
  </si>
  <si>
    <t>2025-11-22</t>
  </si>
  <si>
    <t>2025-11-29</t>
  </si>
  <si>
    <t>2025-12-06</t>
  </si>
  <si>
    <t>2025-12-13</t>
  </si>
  <si>
    <t>2025-12-20</t>
  </si>
  <si>
    <t>2025-12-27</t>
  </si>
  <si>
    <t>2026-01-03</t>
  </si>
  <si>
    <t>2026-01-10</t>
  </si>
  <si>
    <t>2026-01-17</t>
  </si>
  <si>
    <t>2026-01-24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</si>
</sst>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"/>
    <numFmt numFmtId="165" formatCode="0.0%"/>
    <numFmt numFmtId="166" formatCode="0.00&quot;x&quot;"/>
    <numFmt numFmtId="167" formatCode="$#,##0.00"/>
    <numFmt numFmtId="168" formatCode="0.0"/>
  </numFmts>
  <fonts count="8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FF"/>
      <name val="Calibri"/>
      <scheme val="minor"/>
    </font>
    <font>
      <b/>
      <sz val="12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3" numFmtId="0" xfId="0" applyAlignment="1" applyFont="1">
      <alignment readingOrder="0"/>
    </xf>
    <xf borderId="0" fillId="0" fontId="5" numFmtId="0" xfId="0" applyFont="1"/>
    <xf borderId="1" fillId="2" fontId="6" numFmtId="0" xfId="0" applyBorder="1" applyFill="1" applyFont="1"/>
    <xf borderId="0" fillId="0" fontId="7" numFmtId="165" xfId="0" applyFont="1" applyNumberFormat="1"/>
    <xf borderId="0" fillId="0" fontId="7" numFmtId="10" xfId="0" applyFont="1" applyNumberFormat="1"/>
    <xf borderId="0" fillId="0" fontId="7" numFmtId="164" xfId="0" applyFont="1" applyNumberFormat="1"/>
    <xf borderId="0" fillId="0" fontId="7" numFmtId="167" xfId="0" applyFont="1" applyNumberFormat="1"/>
    <xf borderId="1" fillId="3" fontId="7" numFmtId="166" xfId="0" applyBorder="1" applyFill="1" applyFont="1" applyNumberFormat="1"/>
    <xf borderId="1" fillId="3" fontId="7" numFmtId="0" xfId="0" applyBorder="1" applyFont="1"/>
    <xf borderId="1" fillId="3" fontId="7" numFmtId="168" xfId="0" applyBorder="1" applyFont="1" applyNumberFormat="1"/>
    <xf borderId="0" fillId="0" fontId="7" numFmtId="166" xfId="0" applyFont="1" applyNumberFormat="1"/>
    <xf borderId="1" fillId="4" fontId="7" numFmtId="168" xfId="0" applyBorder="1" applyFill="1" applyFont="1" applyNumberFormat="1"/>
    <xf borderId="1" fillId="4" fontId="7" numFmtId="166" xfId="0" applyBorder="1" applyFont="1" applyNumberFormat="1"/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2" numFmtId="164" xfId="0" applyFont="1" applyNumberFormat="1"/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43"/>
    <col customWidth="1" min="2" max="2" width="15.0"/>
    <col customWidth="1" min="3" max="26" width="8.71"/>
  </cols>
  <sheetData>
    <row r="1">
      <c r="A1" s="1" t="s">
        <v>0</v>
      </c>
    </row>
    <row r="4">
      <c r="A4" s="2" t="s">
        <v>1</v>
      </c>
    </row>
    <row r="5">
      <c r="A5" s="3" t="s">
        <v>2</v>
      </c>
      <c r="B5" s="4">
        <v>1600000.0</v>
      </c>
    </row>
    <row r="6">
      <c r="A6" s="3" t="s">
        <v>3</v>
      </c>
      <c r="B6" s="4">
        <v>250000.0</v>
      </c>
    </row>
    <row r="8">
      <c r="A8" s="2" t="s">
        <v>4</v>
      </c>
    </row>
    <row r="9">
      <c r="A9" s="3" t="s">
        <v>5</v>
      </c>
      <c r="B9" s="4">
        <v>500000.0</v>
      </c>
    </row>
    <row r="11">
      <c r="A11" s="2" t="s">
        <v>6</v>
      </c>
    </row>
    <row r="12">
      <c r="A12" s="3" t="s">
        <v>7</v>
      </c>
      <c r="B12" s="5">
        <v>0.05</v>
      </c>
    </row>
    <row r="14">
      <c r="A14" s="2" t="s">
        <v>8</v>
      </c>
    </row>
    <row r="15">
      <c r="A15" s="3" t="s">
        <v>9</v>
      </c>
      <c r="B15" s="6">
        <v>2.5</v>
      </c>
    </row>
    <row r="16">
      <c r="A16" s="3" t="s">
        <v>10</v>
      </c>
      <c r="B16" s="5">
        <v>0.31</v>
      </c>
    </row>
    <row r="18">
      <c r="A18" s="2" t="s">
        <v>11</v>
      </c>
    </row>
    <row r="19">
      <c r="A19" s="3" t="s">
        <v>12</v>
      </c>
      <c r="B19" s="4">
        <v>28.5</v>
      </c>
    </row>
    <row r="20">
      <c r="A20" s="3" t="s">
        <v>13</v>
      </c>
      <c r="B20" s="5">
        <v>0.03</v>
      </c>
    </row>
    <row r="21" ht="15.75" customHeight="1">
      <c r="A21" s="3" t="s">
        <v>14</v>
      </c>
      <c r="B21" s="5">
        <v>0.3</v>
      </c>
    </row>
    <row r="22" ht="15.75" customHeight="1">
      <c r="A22" s="3" t="s">
        <v>15</v>
      </c>
      <c r="B22" s="5">
        <v>0.08</v>
      </c>
    </row>
    <row r="23" ht="15.75" customHeight="1"/>
    <row r="24" ht="15.75" customHeight="1">
      <c r="A24" s="2" t="s">
        <v>16</v>
      </c>
    </row>
    <row r="25" ht="15.75" customHeight="1">
      <c r="A25" s="3" t="s">
        <v>17</v>
      </c>
      <c r="B25" s="5">
        <v>0.08</v>
      </c>
    </row>
    <row r="26" ht="15.75" customHeight="1">
      <c r="A26" s="3" t="s">
        <v>18</v>
      </c>
      <c r="B26" s="5">
        <v>0.7</v>
      </c>
    </row>
    <row r="27" ht="15.75" customHeight="1"/>
    <row r="28" ht="15.75" customHeight="1">
      <c r="A28" s="2" t="s">
        <v>19</v>
      </c>
    </row>
    <row r="29" ht="15.75" customHeight="1">
      <c r="A29" s="3" t="s">
        <v>20</v>
      </c>
    </row>
    <row r="30" ht="15.75" customHeight="1">
      <c r="A30" s="3" t="s">
        <v>21</v>
      </c>
    </row>
    <row r="31" ht="15.75" customHeight="1">
      <c r="A31" s="3" t="s">
        <v>22</v>
      </c>
    </row>
    <row r="32" ht="15.75" customHeight="1">
      <c r="A32" s="3" t="s">
        <v>23</v>
      </c>
    </row>
    <row r="33" ht="15.75" customHeight="1"/>
    <row r="34" ht="15.75" customHeight="1">
      <c r="A34" s="2" t="s">
        <v>24</v>
      </c>
    </row>
    <row r="35" ht="15.75" customHeight="1">
      <c r="A35" s="7" t="s">
        <v>25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29"/>
    <col customWidth="1" min="3" max="26" width="8.71"/>
  </cols>
  <sheetData>
    <row r="1">
      <c r="A1" s="8" t="s">
        <v>26</v>
      </c>
    </row>
    <row r="2">
      <c r="A2" s="3" t="s">
        <v>27</v>
      </c>
    </row>
    <row r="4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</row>
    <row r="5">
      <c r="A5" s="3">
        <v>0.0</v>
      </c>
      <c r="B5" s="10">
        <v>0.3159350007002817</v>
      </c>
      <c r="C5" s="11">
        <v>0.3159350007002817</v>
      </c>
      <c r="D5" s="10">
        <v>0.1379872641354488</v>
      </c>
      <c r="E5" s="11">
        <v>0.1379872641354488</v>
      </c>
    </row>
    <row r="6">
      <c r="A6" s="3">
        <v>1.0</v>
      </c>
      <c r="B6" s="10">
        <v>0.4665836316348416</v>
      </c>
      <c r="C6" s="11">
        <v>0.1506486309345599</v>
      </c>
      <c r="D6" s="10">
        <v>0.289819422981219</v>
      </c>
      <c r="E6" s="11">
        <v>0.1518321588457702</v>
      </c>
    </row>
    <row r="7">
      <c r="A7" s="3">
        <v>2.0</v>
      </c>
      <c r="B7" s="10">
        <v>0.5631509604515611</v>
      </c>
      <c r="C7" s="11">
        <v>0.09656732881671953</v>
      </c>
      <c r="D7" s="10">
        <v>0.3750432983175933</v>
      </c>
      <c r="E7" s="11">
        <v>0.08522387533637427</v>
      </c>
    </row>
    <row r="8">
      <c r="A8" s="3">
        <v>3.0</v>
      </c>
      <c r="B8" s="10">
        <v>0.6310918665480366</v>
      </c>
      <c r="C8" s="11">
        <v>0.06794090609647552</v>
      </c>
      <c r="D8" s="10">
        <v>0.4670084261500715</v>
      </c>
      <c r="E8" s="11">
        <v>0.09196512783247823</v>
      </c>
    </row>
    <row r="9">
      <c r="A9" s="3">
        <v>4.0</v>
      </c>
      <c r="B9" s="10">
        <v>0.6714847609556001</v>
      </c>
      <c r="C9" s="11">
        <v>0.04039289440756344</v>
      </c>
      <c r="D9" s="10">
        <v>0.5594204083812157</v>
      </c>
      <c r="E9" s="11">
        <v>0.09241198223114411</v>
      </c>
    </row>
    <row r="10">
      <c r="A10" s="3">
        <v>5.0</v>
      </c>
      <c r="B10" s="10">
        <v>0.7076939877821954</v>
      </c>
      <c r="C10" s="11">
        <v>0.03620922682659533</v>
      </c>
      <c r="D10" s="10">
        <v>0.6274832723168315</v>
      </c>
      <c r="E10" s="11">
        <v>0.06806286393561589</v>
      </c>
    </row>
    <row r="11">
      <c r="A11" s="3">
        <v>6.0</v>
      </c>
      <c r="B11" s="10">
        <v>0.7389658875828264</v>
      </c>
      <c r="C11" s="11">
        <v>0.03127189980063105</v>
      </c>
      <c r="D11" s="10">
        <v>0.7170822230140013</v>
      </c>
      <c r="E11" s="11">
        <v>0.08959895069716972</v>
      </c>
    </row>
    <row r="12">
      <c r="A12" s="3">
        <v>7.0</v>
      </c>
      <c r="B12" s="10">
        <v>0.7665963573453479</v>
      </c>
      <c r="C12" s="11">
        <v>0.02763046976252148</v>
      </c>
      <c r="D12" s="10">
        <v>0.7564064510718244</v>
      </c>
      <c r="E12" s="11">
        <v>0.0393242280578231</v>
      </c>
    </row>
    <row r="13">
      <c r="A13" s="3">
        <v>8.0</v>
      </c>
      <c r="B13" s="10">
        <v>0.7912968890190841</v>
      </c>
      <c r="C13" s="11">
        <v>0.0247005316737362</v>
      </c>
      <c r="D13" s="10">
        <v>0.7818253316435836</v>
      </c>
      <c r="E13" s="11">
        <v>0.02541888057175923</v>
      </c>
    </row>
    <row r="14">
      <c r="A14" s="3">
        <v>9.0</v>
      </c>
      <c r="B14" s="10">
        <v>0.82</v>
      </c>
      <c r="C14" s="11">
        <v>0.02870311098091582</v>
      </c>
      <c r="D14" s="10">
        <v>0.82</v>
      </c>
      <c r="E14" s="11">
        <v>0.03817466835641636</v>
      </c>
    </row>
    <row r="15">
      <c r="A15" s="3">
        <v>10.0</v>
      </c>
      <c r="B15" s="10">
        <v>0.84</v>
      </c>
      <c r="C15" s="11">
        <v>0.02000000000000002</v>
      </c>
      <c r="D15" s="10">
        <v>0.84</v>
      </c>
      <c r="E15" s="11">
        <v>0.02000000000000002</v>
      </c>
    </row>
    <row r="16">
      <c r="A16" s="3">
        <v>11.0</v>
      </c>
      <c r="B16" s="10">
        <v>0.86</v>
      </c>
      <c r="C16" s="11">
        <v>0.02000000000000002</v>
      </c>
      <c r="D16" s="10">
        <v>0.86</v>
      </c>
      <c r="E16" s="11">
        <v>0.02000000000000002</v>
      </c>
    </row>
    <row r="17">
      <c r="A17" s="3">
        <v>12.0</v>
      </c>
      <c r="B17" s="10">
        <v>0.88</v>
      </c>
      <c r="C17" s="11">
        <v>0.02000000000000002</v>
      </c>
      <c r="D17" s="10">
        <v>0.88</v>
      </c>
      <c r="E17" s="11">
        <v>0.02000000000000002</v>
      </c>
    </row>
    <row r="18">
      <c r="A18" s="3">
        <v>13.0</v>
      </c>
      <c r="B18" s="10">
        <v>0.885</v>
      </c>
      <c r="C18" s="11">
        <v>0.005000000000000004</v>
      </c>
      <c r="D18" s="10">
        <v>0.885</v>
      </c>
      <c r="E18" s="11">
        <v>0.005000000000000004</v>
      </c>
    </row>
    <row r="19">
      <c r="A19" s="3">
        <v>14.0</v>
      </c>
      <c r="B19" s="10">
        <v>0.89</v>
      </c>
      <c r="C19" s="11">
        <v>0.005000000000000004</v>
      </c>
      <c r="D19" s="10">
        <v>0.89</v>
      </c>
      <c r="E19" s="11">
        <v>0.005000000000000004</v>
      </c>
    </row>
    <row r="20">
      <c r="A20" s="3">
        <v>15.0</v>
      </c>
      <c r="B20" s="10">
        <v>0.895</v>
      </c>
      <c r="C20" s="11">
        <v>0.005000000000000004</v>
      </c>
      <c r="D20" s="10">
        <v>0.895</v>
      </c>
      <c r="E20" s="11">
        <v>0.005000000000000004</v>
      </c>
    </row>
    <row r="21" ht="15.75" customHeight="1">
      <c r="A21" s="3">
        <v>16.0</v>
      </c>
      <c r="B21" s="10">
        <v>0.9</v>
      </c>
      <c r="C21" s="11">
        <v>0.005000000000000004</v>
      </c>
      <c r="D21" s="10">
        <v>0.9</v>
      </c>
      <c r="E21" s="11">
        <v>0.005000000000000004</v>
      </c>
    </row>
    <row r="22" ht="15.75" customHeight="1">
      <c r="A22" s="3">
        <v>17.0</v>
      </c>
      <c r="B22" s="10">
        <v>0.905</v>
      </c>
      <c r="C22" s="11">
        <v>0.005000000000000004</v>
      </c>
      <c r="D22" s="10">
        <v>0.905</v>
      </c>
      <c r="E22" s="11">
        <v>0.005000000000000004</v>
      </c>
    </row>
    <row r="23" ht="15.75" customHeight="1">
      <c r="A23" s="3">
        <v>18.0</v>
      </c>
      <c r="B23" s="10">
        <v>0.91</v>
      </c>
      <c r="C23" s="11">
        <v>0.005000000000000004</v>
      </c>
      <c r="D23" s="10">
        <v>0.91</v>
      </c>
      <c r="E23" s="11">
        <v>0.005000000000000004</v>
      </c>
    </row>
    <row r="24" ht="15.75" customHeight="1">
      <c r="A24" s="3">
        <v>19.0</v>
      </c>
      <c r="B24" s="10">
        <v>0.915</v>
      </c>
      <c r="C24" s="11">
        <v>0.005000000000000004</v>
      </c>
      <c r="D24" s="10">
        <v>0.915</v>
      </c>
      <c r="E24" s="11">
        <v>0.005000000000000004</v>
      </c>
    </row>
    <row r="25" ht="15.75" customHeight="1">
      <c r="A25" s="3">
        <v>20.0</v>
      </c>
      <c r="B25" s="10">
        <v>0.92</v>
      </c>
      <c r="C25" s="11">
        <v>0.005000000000000004</v>
      </c>
      <c r="D25" s="10">
        <v>0.92</v>
      </c>
      <c r="E25" s="11">
        <v>0.005000000000000004</v>
      </c>
    </row>
    <row r="26" ht="15.75" customHeight="1">
      <c r="A26" s="3">
        <v>21.0</v>
      </c>
      <c r="B26" s="10">
        <v>0.925</v>
      </c>
      <c r="C26" s="11">
        <v>0.005000000000000004</v>
      </c>
      <c r="D26" s="10">
        <v>0.925</v>
      </c>
      <c r="E26" s="11">
        <v>0.005000000000000004</v>
      </c>
    </row>
    <row r="27" ht="15.75" customHeight="1">
      <c r="A27" s="3">
        <v>22.0</v>
      </c>
      <c r="B27" s="10">
        <v>0.93</v>
      </c>
      <c r="C27" s="11">
        <v>0.005000000000000004</v>
      </c>
      <c r="D27" s="10">
        <v>0.93</v>
      </c>
      <c r="E27" s="11">
        <v>0.005000000000000004</v>
      </c>
    </row>
    <row r="28" ht="15.75" customHeight="1">
      <c r="A28" s="3">
        <v>23.0</v>
      </c>
      <c r="B28" s="10">
        <v>0.935</v>
      </c>
      <c r="C28" s="11">
        <v>0.005000000000000004</v>
      </c>
      <c r="D28" s="10">
        <v>0.935</v>
      </c>
      <c r="E28" s="11">
        <v>0.005000000000000004</v>
      </c>
    </row>
    <row r="29" ht="15.75" customHeight="1">
      <c r="A29" s="3">
        <v>24.0</v>
      </c>
      <c r="B29" s="10">
        <v>0.9400000000000001</v>
      </c>
      <c r="C29" s="11">
        <v>0.005000000000000004</v>
      </c>
      <c r="D29" s="10">
        <v>0.9400000000000001</v>
      </c>
      <c r="E29" s="11">
        <v>0.005000000000000004</v>
      </c>
    </row>
    <row r="30" ht="15.75" customHeight="1">
      <c r="A30" s="3">
        <v>25.0</v>
      </c>
      <c r="B30" s="10">
        <v>0.9450000000000001</v>
      </c>
      <c r="C30" s="11">
        <v>0.005000000000000004</v>
      </c>
      <c r="D30" s="10">
        <v>0.9450000000000001</v>
      </c>
      <c r="E30" s="11">
        <v>0.005000000000000004</v>
      </c>
    </row>
    <row r="31" ht="15.75" customHeight="1">
      <c r="A31" s="3">
        <v>26.0</v>
      </c>
      <c r="B31" s="10">
        <v>0.9500000000000001</v>
      </c>
      <c r="C31" s="11">
        <v>0.005000000000000004</v>
      </c>
      <c r="D31" s="10">
        <v>0.9500000000000001</v>
      </c>
      <c r="E31" s="11">
        <v>0.005000000000000004</v>
      </c>
    </row>
    <row r="32" ht="15.75" customHeight="1">
      <c r="A32" s="3">
        <v>27.0</v>
      </c>
      <c r="B32" s="10">
        <v>0.9550000000000001</v>
      </c>
      <c r="C32" s="11">
        <v>0.005000000000000004</v>
      </c>
      <c r="D32" s="10">
        <v>0.9550000000000001</v>
      </c>
      <c r="E32" s="11">
        <v>0.005000000000000004</v>
      </c>
    </row>
    <row r="33" ht="15.75" customHeight="1">
      <c r="A33" s="3">
        <v>28.0</v>
      </c>
      <c r="B33" s="10">
        <v>0.9600000000000001</v>
      </c>
      <c r="C33" s="11">
        <v>0.005000000000000004</v>
      </c>
      <c r="D33" s="10">
        <v>0.9600000000000001</v>
      </c>
      <c r="E33" s="11">
        <v>0.005000000000000004</v>
      </c>
    </row>
    <row r="34" ht="15.75" customHeight="1">
      <c r="A34" s="3">
        <v>29.0</v>
      </c>
      <c r="B34" s="10">
        <v>0.9650000000000001</v>
      </c>
      <c r="C34" s="11">
        <v>0.005000000000000004</v>
      </c>
      <c r="D34" s="10">
        <v>0.9650000000000001</v>
      </c>
      <c r="E34" s="11">
        <v>0.005000000000000004</v>
      </c>
    </row>
    <row r="35" ht="15.75" customHeight="1">
      <c r="A35" s="3">
        <v>30.0</v>
      </c>
      <c r="B35" s="10">
        <v>0.9700000000000001</v>
      </c>
      <c r="C35" s="11">
        <v>0.005000000000000004</v>
      </c>
      <c r="D35" s="10">
        <v>0.9700000000000001</v>
      </c>
      <c r="E35" s="11">
        <v>0.005000000000000004</v>
      </c>
    </row>
    <row r="36" ht="15.75" customHeight="1">
      <c r="A36" s="3">
        <v>31.0</v>
      </c>
      <c r="B36" s="10">
        <v>0.9750000000000001</v>
      </c>
      <c r="C36" s="11">
        <v>0.005000000000000004</v>
      </c>
      <c r="D36" s="10">
        <v>0.9750000000000001</v>
      </c>
      <c r="E36" s="11">
        <v>0.005000000000000004</v>
      </c>
    </row>
    <row r="37" ht="15.75" customHeight="1">
      <c r="A37" s="3">
        <v>32.0</v>
      </c>
      <c r="B37" s="10">
        <v>0.9800000000000001</v>
      </c>
      <c r="C37" s="11">
        <v>0.005000000000000004</v>
      </c>
      <c r="D37" s="10">
        <v>0.9800000000000001</v>
      </c>
      <c r="E37" s="11">
        <v>0.005000000000000004</v>
      </c>
    </row>
    <row r="38" ht="15.75" customHeight="1">
      <c r="A38" s="3">
        <v>33.0</v>
      </c>
      <c r="B38" s="10">
        <v>0.9850000000000001</v>
      </c>
      <c r="C38" s="11">
        <v>0.005000000000000004</v>
      </c>
      <c r="D38" s="10">
        <v>0.9850000000000001</v>
      </c>
      <c r="E38" s="11">
        <v>0.005000000000000004</v>
      </c>
    </row>
    <row r="39" ht="15.75" customHeight="1">
      <c r="A39" s="3">
        <v>34.0</v>
      </c>
      <c r="B39" s="10">
        <v>0.9900000000000001</v>
      </c>
      <c r="C39" s="11">
        <v>0.005000000000000004</v>
      </c>
      <c r="D39" s="10">
        <v>0.9900000000000001</v>
      </c>
      <c r="E39" s="11">
        <v>0.005000000000000004</v>
      </c>
    </row>
    <row r="40" ht="15.75" customHeight="1">
      <c r="A40" s="3">
        <v>35.0</v>
      </c>
      <c r="B40" s="10">
        <v>0.9950000000000001</v>
      </c>
      <c r="C40" s="11">
        <v>0.005000000000000004</v>
      </c>
      <c r="D40" s="10">
        <v>0.9950000000000001</v>
      </c>
      <c r="E40" s="11">
        <v>0.005000000000000004</v>
      </c>
    </row>
    <row r="41" ht="15.75" customHeight="1">
      <c r="A41" s="3">
        <v>36.0</v>
      </c>
      <c r="B41" s="10">
        <v>1.0</v>
      </c>
      <c r="C41" s="11">
        <v>0.004999999999999893</v>
      </c>
      <c r="D41" s="10">
        <v>1.0</v>
      </c>
      <c r="E41" s="11">
        <v>0.004999999999999893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33</v>
      </c>
    </row>
    <row r="3">
      <c r="A3" s="9" t="s">
        <v>34</v>
      </c>
      <c r="B3" s="9" t="s">
        <v>35</v>
      </c>
      <c r="C3" s="9" t="s">
        <v>36</v>
      </c>
      <c r="D3" s="9" t="s">
        <v>37</v>
      </c>
    </row>
    <row r="4">
      <c r="A4" s="3">
        <v>0.0</v>
      </c>
      <c r="B4" s="4">
        <v>700000.0</v>
      </c>
      <c r="C4" s="4">
        <v>350000.0</v>
      </c>
      <c r="D4" s="12">
        <f t="shared" ref="D4:D39" si="1">B4-C4</f>
        <v>350000</v>
      </c>
    </row>
    <row r="5">
      <c r="A5" s="3">
        <v>1.0</v>
      </c>
      <c r="B5" s="4">
        <v>500000.0</v>
      </c>
      <c r="C5" s="4">
        <v>250000.0</v>
      </c>
      <c r="D5" s="12">
        <f t="shared" si="1"/>
        <v>250000</v>
      </c>
    </row>
    <row r="6">
      <c r="A6" s="3">
        <v>2.0</v>
      </c>
      <c r="B6" s="4">
        <v>400000.0</v>
      </c>
      <c r="C6" s="4">
        <v>200000.0</v>
      </c>
      <c r="D6" s="12">
        <f t="shared" si="1"/>
        <v>200000</v>
      </c>
    </row>
    <row r="7">
      <c r="A7" s="3">
        <v>3.0</v>
      </c>
      <c r="B7" s="4">
        <v>300000.0</v>
      </c>
      <c r="C7" s="4">
        <v>150000.0</v>
      </c>
      <c r="D7" s="12">
        <f t="shared" si="1"/>
        <v>150000</v>
      </c>
    </row>
    <row r="8">
      <c r="A8" s="3">
        <v>4.0</v>
      </c>
      <c r="B8" s="4">
        <v>200000.0</v>
      </c>
      <c r="C8" s="4">
        <v>100000.0</v>
      </c>
      <c r="D8" s="12">
        <f t="shared" si="1"/>
        <v>100000</v>
      </c>
    </row>
    <row r="9">
      <c r="A9" s="3">
        <v>5.0</v>
      </c>
      <c r="B9" s="4">
        <v>200000.0</v>
      </c>
      <c r="C9" s="4">
        <v>100000.0</v>
      </c>
      <c r="D9" s="12">
        <f t="shared" si="1"/>
        <v>100000</v>
      </c>
    </row>
    <row r="10">
      <c r="A10" s="3">
        <v>6.0</v>
      </c>
      <c r="B10" s="4">
        <v>200000.0</v>
      </c>
      <c r="C10" s="4">
        <v>100000.0</v>
      </c>
      <c r="D10" s="12">
        <f t="shared" si="1"/>
        <v>100000</v>
      </c>
    </row>
    <row r="11">
      <c r="A11" s="3">
        <v>7.0</v>
      </c>
      <c r="B11" s="4">
        <v>200000.0</v>
      </c>
      <c r="C11" s="4">
        <v>100000.0</v>
      </c>
      <c r="D11" s="12">
        <f t="shared" si="1"/>
        <v>100000</v>
      </c>
    </row>
    <row r="12">
      <c r="A12" s="3">
        <v>8.0</v>
      </c>
      <c r="B12" s="4">
        <v>200000.0</v>
      </c>
      <c r="C12" s="4">
        <v>100000.0</v>
      </c>
      <c r="D12" s="12">
        <f t="shared" si="1"/>
        <v>100000</v>
      </c>
    </row>
    <row r="13">
      <c r="A13" s="3">
        <v>9.0</v>
      </c>
      <c r="B13" s="4">
        <v>200000.0</v>
      </c>
      <c r="C13" s="4">
        <v>100000.0</v>
      </c>
      <c r="D13" s="12">
        <f t="shared" si="1"/>
        <v>100000</v>
      </c>
    </row>
    <row r="14">
      <c r="A14" s="3">
        <v>10.0</v>
      </c>
      <c r="B14" s="4">
        <v>200000.0</v>
      </c>
      <c r="C14" s="4">
        <v>100000.0</v>
      </c>
      <c r="D14" s="12">
        <f t="shared" si="1"/>
        <v>100000</v>
      </c>
    </row>
    <row r="15">
      <c r="A15" s="3">
        <v>11.0</v>
      </c>
      <c r="B15" s="4">
        <v>200000.0</v>
      </c>
      <c r="C15" s="4">
        <v>100000.0</v>
      </c>
      <c r="D15" s="12">
        <f t="shared" si="1"/>
        <v>100000</v>
      </c>
    </row>
    <row r="16">
      <c r="A16" s="3">
        <v>12.0</v>
      </c>
      <c r="B16" s="4">
        <v>200000.0</v>
      </c>
      <c r="C16" s="4">
        <v>100000.0</v>
      </c>
      <c r="D16" s="12">
        <f t="shared" si="1"/>
        <v>100000</v>
      </c>
    </row>
    <row r="17">
      <c r="A17" s="3">
        <v>13.0</v>
      </c>
      <c r="B17" s="4">
        <v>200000.0</v>
      </c>
      <c r="C17" s="4">
        <v>100000.0</v>
      </c>
      <c r="D17" s="12">
        <f t="shared" si="1"/>
        <v>100000</v>
      </c>
    </row>
    <row r="18">
      <c r="A18" s="3">
        <v>14.0</v>
      </c>
      <c r="B18" s="4">
        <v>200000.0</v>
      </c>
      <c r="C18" s="4">
        <v>100000.0</v>
      </c>
      <c r="D18" s="12">
        <f t="shared" si="1"/>
        <v>100000</v>
      </c>
    </row>
    <row r="19">
      <c r="A19" s="3">
        <v>15.0</v>
      </c>
      <c r="B19" s="4">
        <v>200000.0</v>
      </c>
      <c r="C19" s="4">
        <v>100000.0</v>
      </c>
      <c r="D19" s="12">
        <f t="shared" si="1"/>
        <v>100000</v>
      </c>
    </row>
    <row r="20">
      <c r="A20" s="3">
        <v>16.0</v>
      </c>
      <c r="B20" s="4">
        <v>200000.0</v>
      </c>
      <c r="C20" s="4">
        <v>100000.0</v>
      </c>
      <c r="D20" s="12">
        <f t="shared" si="1"/>
        <v>100000</v>
      </c>
    </row>
    <row r="21" ht="15.75" customHeight="1">
      <c r="A21" s="3">
        <v>17.0</v>
      </c>
      <c r="B21" s="4">
        <v>200000.0</v>
      </c>
      <c r="C21" s="4">
        <v>100000.0</v>
      </c>
      <c r="D21" s="12">
        <f t="shared" si="1"/>
        <v>100000</v>
      </c>
    </row>
    <row r="22" ht="15.75" customHeight="1">
      <c r="A22" s="3">
        <v>18.0</v>
      </c>
      <c r="B22" s="4">
        <v>200000.0</v>
      </c>
      <c r="C22" s="4">
        <v>100000.0</v>
      </c>
      <c r="D22" s="12">
        <f t="shared" si="1"/>
        <v>100000</v>
      </c>
    </row>
    <row r="23" ht="15.75" customHeight="1">
      <c r="A23" s="3">
        <v>19.0</v>
      </c>
      <c r="B23" s="4">
        <v>200000.0</v>
      </c>
      <c r="C23" s="4">
        <v>100000.0</v>
      </c>
      <c r="D23" s="12">
        <f t="shared" si="1"/>
        <v>100000</v>
      </c>
    </row>
    <row r="24" ht="15.75" customHeight="1">
      <c r="A24" s="3">
        <v>20.0</v>
      </c>
      <c r="B24" s="4">
        <v>200000.0</v>
      </c>
      <c r="C24" s="4">
        <v>100000.0</v>
      </c>
      <c r="D24" s="12">
        <f t="shared" si="1"/>
        <v>100000</v>
      </c>
    </row>
    <row r="25" ht="15.75" customHeight="1">
      <c r="A25" s="3">
        <v>21.0</v>
      </c>
      <c r="B25" s="4">
        <v>200000.0</v>
      </c>
      <c r="C25" s="4">
        <v>100000.0</v>
      </c>
      <c r="D25" s="12">
        <f t="shared" si="1"/>
        <v>100000</v>
      </c>
    </row>
    <row r="26" ht="15.75" customHeight="1">
      <c r="A26" s="3">
        <v>22.0</v>
      </c>
      <c r="B26" s="4">
        <v>200000.0</v>
      </c>
      <c r="C26" s="4">
        <v>100000.0</v>
      </c>
      <c r="D26" s="12">
        <f t="shared" si="1"/>
        <v>100000</v>
      </c>
    </row>
    <row r="27" ht="15.75" customHeight="1">
      <c r="A27" s="3">
        <v>23.0</v>
      </c>
      <c r="B27" s="4">
        <v>200000.0</v>
      </c>
      <c r="C27" s="4">
        <v>100000.0</v>
      </c>
      <c r="D27" s="12">
        <f t="shared" si="1"/>
        <v>100000</v>
      </c>
    </row>
    <row r="28" ht="15.75" customHeight="1">
      <c r="A28" s="3">
        <v>24.0</v>
      </c>
      <c r="B28" s="4">
        <v>200000.0</v>
      </c>
      <c r="C28" s="4">
        <v>100000.0</v>
      </c>
      <c r="D28" s="12">
        <f t="shared" si="1"/>
        <v>100000</v>
      </c>
    </row>
    <row r="29" ht="15.75" customHeight="1">
      <c r="A29" s="3">
        <v>25.0</v>
      </c>
      <c r="B29" s="4">
        <v>200000.0</v>
      </c>
      <c r="C29" s="4">
        <v>100000.0</v>
      </c>
      <c r="D29" s="12">
        <f t="shared" si="1"/>
        <v>100000</v>
      </c>
    </row>
    <row r="30" ht="15.75" customHeight="1">
      <c r="A30" s="3">
        <v>26.0</v>
      </c>
      <c r="B30" s="4">
        <v>200000.0</v>
      </c>
      <c r="C30" s="4">
        <v>100000.0</v>
      </c>
      <c r="D30" s="12">
        <f t="shared" si="1"/>
        <v>100000</v>
      </c>
    </row>
    <row r="31" ht="15.75" customHeight="1">
      <c r="A31" s="3">
        <v>27.0</v>
      </c>
      <c r="B31" s="4">
        <v>200000.0</v>
      </c>
      <c r="C31" s="4">
        <v>100000.0</v>
      </c>
      <c r="D31" s="12">
        <f t="shared" si="1"/>
        <v>100000</v>
      </c>
    </row>
    <row r="32" ht="15.75" customHeight="1">
      <c r="A32" s="3">
        <v>28.0</v>
      </c>
      <c r="B32" s="4">
        <v>200000.0</v>
      </c>
      <c r="C32" s="4">
        <v>100000.0</v>
      </c>
      <c r="D32" s="12">
        <f t="shared" si="1"/>
        <v>100000</v>
      </c>
    </row>
    <row r="33" ht="15.75" customHeight="1">
      <c r="A33" s="3">
        <v>29.0</v>
      </c>
      <c r="B33" s="4">
        <v>200000.0</v>
      </c>
      <c r="C33" s="4">
        <v>100000.0</v>
      </c>
      <c r="D33" s="12">
        <f t="shared" si="1"/>
        <v>100000</v>
      </c>
    </row>
    <row r="34" ht="15.75" customHeight="1">
      <c r="A34" s="3">
        <v>30.0</v>
      </c>
      <c r="B34" s="4">
        <v>200000.0</v>
      </c>
      <c r="C34" s="4">
        <v>100000.0</v>
      </c>
      <c r="D34" s="12">
        <f t="shared" si="1"/>
        <v>100000</v>
      </c>
    </row>
    <row r="35" ht="15.75" customHeight="1">
      <c r="A35" s="3">
        <v>31.0</v>
      </c>
      <c r="B35" s="4">
        <v>200000.0</v>
      </c>
      <c r="C35" s="4">
        <v>100000.0</v>
      </c>
      <c r="D35" s="12">
        <f t="shared" si="1"/>
        <v>100000</v>
      </c>
    </row>
    <row r="36" ht="15.75" customHeight="1">
      <c r="A36" s="3">
        <v>32.0</v>
      </c>
      <c r="B36" s="4">
        <v>200000.0</v>
      </c>
      <c r="C36" s="4">
        <v>100000.0</v>
      </c>
      <c r="D36" s="12">
        <f t="shared" si="1"/>
        <v>100000</v>
      </c>
    </row>
    <row r="37" ht="15.75" customHeight="1">
      <c r="A37" s="3">
        <v>33.0</v>
      </c>
      <c r="B37" s="4">
        <v>200000.0</v>
      </c>
      <c r="C37" s="4">
        <v>100000.0</v>
      </c>
      <c r="D37" s="12">
        <f t="shared" si="1"/>
        <v>100000</v>
      </c>
    </row>
    <row r="38" ht="15.75" customHeight="1">
      <c r="A38" s="3">
        <v>34.0</v>
      </c>
      <c r="B38" s="4">
        <v>200000.0</v>
      </c>
      <c r="C38" s="4">
        <v>100000.0</v>
      </c>
      <c r="D38" s="12">
        <f t="shared" si="1"/>
        <v>100000</v>
      </c>
    </row>
    <row r="39" ht="15.75" customHeight="1">
      <c r="A39" s="3">
        <v>35.0</v>
      </c>
      <c r="B39" s="4">
        <v>200000.0</v>
      </c>
      <c r="C39" s="4">
        <v>100000.0</v>
      </c>
      <c r="D39" s="12">
        <f t="shared" si="1"/>
        <v>100000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0"/>
    <col customWidth="1" min="6" max="6" width="13.0"/>
    <col customWidth="1" min="7" max="10" width="12.0"/>
    <col customWidth="1" min="11" max="26" width="8.71"/>
  </cols>
  <sheetData>
    <row r="1">
      <c r="A1" s="1" t="s">
        <v>38</v>
      </c>
    </row>
    <row r="3">
      <c r="A3" s="9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 t="s">
        <v>46</v>
      </c>
      <c r="I3" s="9" t="s">
        <v>47</v>
      </c>
      <c r="J3" s="9" t="s">
        <v>48</v>
      </c>
    </row>
    <row r="4">
      <c r="A4" s="3" t="s">
        <v>49</v>
      </c>
      <c r="B4" s="12">
        <v>83561.57436800002</v>
      </c>
      <c r="C4" s="3">
        <v>47087.0</v>
      </c>
      <c r="D4" s="13">
        <v>1.774620901055493</v>
      </c>
      <c r="E4" s="3">
        <v>42.0</v>
      </c>
      <c r="F4" s="14">
        <v>2.541479864058465</v>
      </c>
      <c r="G4" s="14">
        <v>3.099365687876177</v>
      </c>
      <c r="H4" s="15">
        <v>1.4</v>
      </c>
      <c r="I4" s="16">
        <v>0.8</v>
      </c>
      <c r="J4" s="10">
        <v>0.2636103848453347</v>
      </c>
    </row>
    <row r="5">
      <c r="A5" s="3" t="s">
        <v>50</v>
      </c>
      <c r="B5" s="12">
        <v>77127.49000000002</v>
      </c>
      <c r="C5" s="3">
        <v>41122.0</v>
      </c>
      <c r="D5" s="13">
        <v>1.875577306551238</v>
      </c>
      <c r="E5" s="3">
        <v>38.0</v>
      </c>
      <c r="F5" s="14">
        <v>3.149367995532727</v>
      </c>
      <c r="G5" s="14">
        <v>3.980008059221337</v>
      </c>
      <c r="H5" s="15">
        <v>1.4</v>
      </c>
      <c r="I5" s="16">
        <v>0.6</v>
      </c>
      <c r="J5" s="10">
        <v>0.3831065495134887</v>
      </c>
    </row>
    <row r="6">
      <c r="A6" s="3" t="s">
        <v>51</v>
      </c>
      <c r="B6" s="12">
        <v>75728.60713400003</v>
      </c>
      <c r="C6" s="3">
        <v>27893.0</v>
      </c>
      <c r="D6" s="13">
        <v>2.714968168859572</v>
      </c>
      <c r="E6" s="3">
        <v>34.0</v>
      </c>
      <c r="F6" s="14">
        <v>2.71441836976516</v>
      </c>
      <c r="G6" s="14">
        <v>3.540870425167345</v>
      </c>
      <c r="H6" s="15">
        <v>1.4</v>
      </c>
      <c r="I6" s="16">
        <v>0.8</v>
      </c>
      <c r="J6" s="10">
        <v>0.3625779739569295</v>
      </c>
    </row>
    <row r="7">
      <c r="A7" s="3" t="s">
        <v>52</v>
      </c>
      <c r="B7" s="12">
        <v>130031.251399</v>
      </c>
      <c r="C7" s="3">
        <v>31351.0</v>
      </c>
      <c r="D7" s="13">
        <v>4.147595017670888</v>
      </c>
      <c r="E7" s="3">
        <v>29.0</v>
      </c>
      <c r="F7" s="14">
        <v>1.829454084196586</v>
      </c>
      <c r="G7" s="14">
        <v>2.475694906811965</v>
      </c>
      <c r="H7" s="15">
        <v>5.5</v>
      </c>
      <c r="I7" s="16">
        <v>4.2</v>
      </c>
      <c r="J7" s="10">
        <v>0.4033061705730114</v>
      </c>
    </row>
    <row r="8">
      <c r="A8" s="3" t="s">
        <v>53</v>
      </c>
      <c r="B8" s="12">
        <v>151857.016728</v>
      </c>
      <c r="C8" s="3">
        <v>29508.0</v>
      </c>
      <c r="D8" s="13">
        <v>5.14629987555917</v>
      </c>
      <c r="E8" s="3">
        <v>25.0</v>
      </c>
      <c r="F8" s="14">
        <v>1.857326647355173</v>
      </c>
      <c r="G8" s="14">
        <v>2.624477075431643</v>
      </c>
      <c r="H8" s="15">
        <v>3.5</v>
      </c>
      <c r="I8" s="16">
        <v>1.9</v>
      </c>
      <c r="J8" s="10">
        <v>0.3119147654974195</v>
      </c>
    </row>
    <row r="9">
      <c r="A9" s="3" t="s">
        <v>54</v>
      </c>
      <c r="B9" s="12">
        <v>179833.7730349999</v>
      </c>
      <c r="C9" s="3">
        <v>25901.0</v>
      </c>
      <c r="D9" s="13">
        <v>6.943120846106324</v>
      </c>
      <c r="E9" s="3">
        <v>21.0</v>
      </c>
      <c r="F9" s="17">
        <v>1.147520528573032</v>
      </c>
      <c r="G9" s="17">
        <v>1.708930113231428</v>
      </c>
      <c r="H9" s="15"/>
      <c r="I9" s="18">
        <v>11.9</v>
      </c>
      <c r="J9" s="10">
        <v>0.3329329151043756</v>
      </c>
    </row>
    <row r="10">
      <c r="A10" s="3" t="s">
        <v>55</v>
      </c>
      <c r="B10" s="12">
        <v>160252.719739</v>
      </c>
      <c r="C10" s="3">
        <v>24024.0</v>
      </c>
      <c r="D10" s="13">
        <v>6.670526129662004</v>
      </c>
      <c r="E10" s="3">
        <v>16.0</v>
      </c>
      <c r="F10" s="17">
        <v>1.224909588333392</v>
      </c>
      <c r="G10" s="17">
        <v>1.940937054114539</v>
      </c>
      <c r="H10" s="15"/>
      <c r="I10" s="16">
        <v>4.0</v>
      </c>
      <c r="J10" s="10">
        <v>0.2326233903439176</v>
      </c>
    </row>
    <row r="11">
      <c r="A11" s="3" t="s">
        <v>56</v>
      </c>
      <c r="B11" s="12">
        <v>132959.208687</v>
      </c>
      <c r="C11" s="3">
        <v>23008.0</v>
      </c>
      <c r="D11" s="13">
        <v>5.778825134170722</v>
      </c>
      <c r="E11" s="3">
        <v>12.0</v>
      </c>
      <c r="F11" s="14">
        <v>1.737728143814148</v>
      </c>
      <c r="G11" s="14">
        <v>3.08572348419819</v>
      </c>
      <c r="H11" s="15">
        <v>2.3</v>
      </c>
      <c r="I11" s="16">
        <v>1.1</v>
      </c>
      <c r="J11" s="10">
        <v>0.3200261413952241</v>
      </c>
    </row>
    <row r="12">
      <c r="A12" s="3" t="s">
        <v>57</v>
      </c>
      <c r="B12" s="12">
        <v>205458.0077979999</v>
      </c>
      <c r="C12" s="3">
        <v>32217.0</v>
      </c>
      <c r="D12" s="13">
        <v>6.377316565726167</v>
      </c>
      <c r="E12" s="3">
        <v>8.0</v>
      </c>
      <c r="F12" s="17">
        <v>1.116300047945691</v>
      </c>
      <c r="G12" s="14">
        <v>2.392497233634917</v>
      </c>
      <c r="H12" s="15"/>
      <c r="I12" s="16">
        <v>2.4</v>
      </c>
      <c r="J12" s="10">
        <v>0.2911451133847416</v>
      </c>
    </row>
    <row r="13">
      <c r="A13" s="3" t="s">
        <v>58</v>
      </c>
      <c r="B13" s="12">
        <v>184702.4292549999</v>
      </c>
      <c r="C13" s="3">
        <v>30321.0</v>
      </c>
      <c r="D13" s="13">
        <v>6.091567865670655</v>
      </c>
      <c r="E13" s="3">
        <v>3.0</v>
      </c>
      <c r="F13" s="19">
        <v>0.7461820944345062</v>
      </c>
      <c r="G13" s="14">
        <v>2.361821554372152</v>
      </c>
      <c r="H13" s="15"/>
      <c r="I13" s="16">
        <v>1.9</v>
      </c>
      <c r="J13" s="10">
        <v>0.238560445944192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0"/>
    <col customWidth="1" min="7" max="26" width="8.71"/>
  </cols>
  <sheetData>
    <row r="1">
      <c r="A1" s="8" t="s">
        <v>59</v>
      </c>
    </row>
    <row r="3">
      <c r="A3" s="9" t="s">
        <v>34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</row>
    <row r="4">
      <c r="A4" s="3" t="s">
        <v>65</v>
      </c>
      <c r="B4" s="4">
        <v>200000.0</v>
      </c>
      <c r="C4" s="20">
        <v>1.0</v>
      </c>
      <c r="D4" s="4">
        <v>200000.0</v>
      </c>
      <c r="E4" s="4">
        <v>0.0</v>
      </c>
      <c r="F4" s="12">
        <f t="shared" ref="F4:F39" si="1">B4-D4-E4</f>
        <v>0</v>
      </c>
    </row>
    <row r="5">
      <c r="A5" s="3" t="s">
        <v>66</v>
      </c>
      <c r="B5" s="21">
        <v>250000.0</v>
      </c>
      <c r="C5" s="20">
        <v>1.0</v>
      </c>
      <c r="D5" s="4">
        <f>B5</f>
        <v>250000</v>
      </c>
      <c r="E5" s="4">
        <v>0.0</v>
      </c>
      <c r="F5" s="12">
        <f t="shared" si="1"/>
        <v>0</v>
      </c>
    </row>
    <row r="6">
      <c r="A6" s="3" t="s">
        <v>67</v>
      </c>
      <c r="B6" s="4">
        <v>300000.0</v>
      </c>
      <c r="C6" s="20">
        <v>1.0</v>
      </c>
      <c r="D6" s="4">
        <v>150000.0</v>
      </c>
      <c r="E6" s="4">
        <v>150000.0</v>
      </c>
      <c r="F6" s="12">
        <f t="shared" si="1"/>
        <v>0</v>
      </c>
    </row>
    <row r="7">
      <c r="A7" s="3" t="s">
        <v>68</v>
      </c>
      <c r="B7" s="4">
        <v>300000.0</v>
      </c>
      <c r="C7" s="20">
        <v>1.0</v>
      </c>
      <c r="D7" s="4">
        <f t="shared" ref="D7:D39" si="2">B7/2</f>
        <v>150000</v>
      </c>
      <c r="E7" s="4">
        <f t="shared" ref="E7:E39" si="3">B7/2</f>
        <v>150000</v>
      </c>
      <c r="F7" s="12">
        <f t="shared" si="1"/>
        <v>0</v>
      </c>
    </row>
    <row r="8">
      <c r="A8" s="3" t="s">
        <v>69</v>
      </c>
      <c r="B8" s="4">
        <v>400000.0</v>
      </c>
      <c r="C8" s="20">
        <v>1.0</v>
      </c>
      <c r="D8" s="4">
        <f t="shared" si="2"/>
        <v>200000</v>
      </c>
      <c r="E8" s="4">
        <f t="shared" si="3"/>
        <v>200000</v>
      </c>
      <c r="F8" s="12">
        <f t="shared" si="1"/>
        <v>0</v>
      </c>
    </row>
    <row r="9">
      <c r="A9" s="3" t="s">
        <v>70</v>
      </c>
      <c r="B9" s="4">
        <v>400000.0</v>
      </c>
      <c r="C9" s="20">
        <v>1.0</v>
      </c>
      <c r="D9" s="4">
        <f t="shared" si="2"/>
        <v>200000</v>
      </c>
      <c r="E9" s="4">
        <f t="shared" si="3"/>
        <v>200000</v>
      </c>
      <c r="F9" s="12">
        <f t="shared" si="1"/>
        <v>0</v>
      </c>
    </row>
    <row r="10">
      <c r="A10" s="3" t="s">
        <v>71</v>
      </c>
      <c r="B10" s="4">
        <v>500000.0</v>
      </c>
      <c r="C10" s="20">
        <v>1.0</v>
      </c>
      <c r="D10" s="4">
        <f t="shared" si="2"/>
        <v>250000</v>
      </c>
      <c r="E10" s="4">
        <f t="shared" si="3"/>
        <v>250000</v>
      </c>
      <c r="F10" s="12">
        <f t="shared" si="1"/>
        <v>0</v>
      </c>
    </row>
    <row r="11">
      <c r="A11" s="3" t="s">
        <v>72</v>
      </c>
      <c r="B11" s="4">
        <v>500000.0</v>
      </c>
      <c r="C11" s="20">
        <v>1.0</v>
      </c>
      <c r="D11" s="4">
        <f t="shared" si="2"/>
        <v>250000</v>
      </c>
      <c r="E11" s="4">
        <f t="shared" si="3"/>
        <v>250000</v>
      </c>
      <c r="F11" s="12">
        <f t="shared" si="1"/>
        <v>0</v>
      </c>
    </row>
    <row r="12">
      <c r="A12" s="3" t="s">
        <v>73</v>
      </c>
      <c r="B12" s="21">
        <v>600000.0</v>
      </c>
      <c r="C12" s="20">
        <v>1.0</v>
      </c>
      <c r="D12" s="4">
        <f t="shared" si="2"/>
        <v>300000</v>
      </c>
      <c r="E12" s="4">
        <f t="shared" si="3"/>
        <v>300000</v>
      </c>
      <c r="F12" s="12">
        <f t="shared" si="1"/>
        <v>0</v>
      </c>
    </row>
    <row r="13">
      <c r="A13" s="3" t="s">
        <v>74</v>
      </c>
      <c r="B13" s="21">
        <v>600000.0</v>
      </c>
      <c r="C13" s="20">
        <v>1.0</v>
      </c>
      <c r="D13" s="4">
        <f t="shared" si="2"/>
        <v>300000</v>
      </c>
      <c r="E13" s="4">
        <f t="shared" si="3"/>
        <v>300000</v>
      </c>
      <c r="F13" s="12">
        <f t="shared" si="1"/>
        <v>0</v>
      </c>
    </row>
    <row r="14">
      <c r="A14" s="3" t="s">
        <v>75</v>
      </c>
      <c r="B14" s="21">
        <v>700000.0</v>
      </c>
      <c r="C14" s="20">
        <v>1.0</v>
      </c>
      <c r="D14" s="4">
        <f t="shared" si="2"/>
        <v>350000</v>
      </c>
      <c r="E14" s="4">
        <f t="shared" si="3"/>
        <v>350000</v>
      </c>
      <c r="F14" s="12">
        <f t="shared" si="1"/>
        <v>0</v>
      </c>
    </row>
    <row r="15">
      <c r="A15" s="3" t="s">
        <v>76</v>
      </c>
      <c r="B15" s="21">
        <v>700000.0</v>
      </c>
      <c r="C15" s="20">
        <v>1.0</v>
      </c>
      <c r="D15" s="4">
        <f t="shared" si="2"/>
        <v>350000</v>
      </c>
      <c r="E15" s="4">
        <f t="shared" si="3"/>
        <v>350000</v>
      </c>
      <c r="F15" s="12">
        <f t="shared" si="1"/>
        <v>0</v>
      </c>
    </row>
    <row r="16">
      <c r="A16" s="3" t="s">
        <v>77</v>
      </c>
      <c r="B16" s="21">
        <v>800000.0</v>
      </c>
      <c r="C16" s="20">
        <v>1.0</v>
      </c>
      <c r="D16" s="4">
        <f t="shared" si="2"/>
        <v>400000</v>
      </c>
      <c r="E16" s="4">
        <f t="shared" si="3"/>
        <v>400000</v>
      </c>
      <c r="F16" s="12">
        <f t="shared" si="1"/>
        <v>0</v>
      </c>
    </row>
    <row r="17">
      <c r="A17" s="3" t="s">
        <v>78</v>
      </c>
      <c r="B17" s="21">
        <v>800000.0</v>
      </c>
      <c r="C17" s="20">
        <v>1.0</v>
      </c>
      <c r="D17" s="4">
        <f t="shared" si="2"/>
        <v>400000</v>
      </c>
      <c r="E17" s="4">
        <f t="shared" si="3"/>
        <v>400000</v>
      </c>
      <c r="F17" s="12">
        <f t="shared" si="1"/>
        <v>0</v>
      </c>
    </row>
    <row r="18">
      <c r="A18" s="3" t="s">
        <v>79</v>
      </c>
      <c r="B18" s="21">
        <v>800000.0</v>
      </c>
      <c r="C18" s="20">
        <v>1.0</v>
      </c>
      <c r="D18" s="4">
        <f t="shared" si="2"/>
        <v>400000</v>
      </c>
      <c r="E18" s="4">
        <f t="shared" si="3"/>
        <v>400000</v>
      </c>
      <c r="F18" s="12">
        <f t="shared" si="1"/>
        <v>0</v>
      </c>
    </row>
    <row r="19">
      <c r="A19" s="3" t="s">
        <v>80</v>
      </c>
      <c r="B19" s="21">
        <v>800000.0</v>
      </c>
      <c r="C19" s="20">
        <v>1.0</v>
      </c>
      <c r="D19" s="4">
        <f t="shared" si="2"/>
        <v>400000</v>
      </c>
      <c r="E19" s="4">
        <f t="shared" si="3"/>
        <v>400000</v>
      </c>
      <c r="F19" s="12">
        <f t="shared" si="1"/>
        <v>0</v>
      </c>
    </row>
    <row r="20">
      <c r="A20" s="3" t="s">
        <v>81</v>
      </c>
      <c r="B20" s="21">
        <v>800000.0</v>
      </c>
      <c r="C20" s="20">
        <v>1.0</v>
      </c>
      <c r="D20" s="4">
        <f t="shared" si="2"/>
        <v>400000</v>
      </c>
      <c r="E20" s="4">
        <f t="shared" si="3"/>
        <v>400000</v>
      </c>
      <c r="F20" s="12">
        <f t="shared" si="1"/>
        <v>0</v>
      </c>
    </row>
    <row r="21" ht="15.75" customHeight="1">
      <c r="A21" s="3" t="s">
        <v>82</v>
      </c>
      <c r="B21" s="21">
        <v>800000.0</v>
      </c>
      <c r="C21" s="20">
        <v>1.0</v>
      </c>
      <c r="D21" s="4">
        <f t="shared" si="2"/>
        <v>400000</v>
      </c>
      <c r="E21" s="4">
        <f t="shared" si="3"/>
        <v>400000</v>
      </c>
      <c r="F21" s="12">
        <f t="shared" si="1"/>
        <v>0</v>
      </c>
    </row>
    <row r="22" ht="15.75" customHeight="1">
      <c r="A22" s="3" t="s">
        <v>83</v>
      </c>
      <c r="B22" s="21">
        <v>800000.0</v>
      </c>
      <c r="C22" s="20">
        <v>1.0</v>
      </c>
      <c r="D22" s="4">
        <f t="shared" si="2"/>
        <v>400000</v>
      </c>
      <c r="E22" s="4">
        <f t="shared" si="3"/>
        <v>400000</v>
      </c>
      <c r="F22" s="12">
        <f t="shared" si="1"/>
        <v>0</v>
      </c>
    </row>
    <row r="23" ht="15.75" customHeight="1">
      <c r="A23" s="3" t="s">
        <v>84</v>
      </c>
      <c r="B23" s="21">
        <v>800000.0</v>
      </c>
      <c r="C23" s="20">
        <v>1.0</v>
      </c>
      <c r="D23" s="4">
        <f t="shared" si="2"/>
        <v>400000</v>
      </c>
      <c r="E23" s="4">
        <f t="shared" si="3"/>
        <v>400000</v>
      </c>
      <c r="F23" s="12">
        <f t="shared" si="1"/>
        <v>0</v>
      </c>
    </row>
    <row r="24" ht="15.75" customHeight="1">
      <c r="A24" s="3" t="s">
        <v>85</v>
      </c>
      <c r="B24" s="21">
        <v>800000.0</v>
      </c>
      <c r="C24" s="20">
        <v>1.0</v>
      </c>
      <c r="D24" s="4">
        <f t="shared" si="2"/>
        <v>400000</v>
      </c>
      <c r="E24" s="4">
        <f t="shared" si="3"/>
        <v>400000</v>
      </c>
      <c r="F24" s="12">
        <f t="shared" si="1"/>
        <v>0</v>
      </c>
    </row>
    <row r="25" ht="15.75" customHeight="1">
      <c r="A25" s="3" t="s">
        <v>86</v>
      </c>
      <c r="B25" s="21">
        <v>800000.0</v>
      </c>
      <c r="C25" s="20">
        <v>1.0</v>
      </c>
      <c r="D25" s="4">
        <f t="shared" si="2"/>
        <v>400000</v>
      </c>
      <c r="E25" s="4">
        <f t="shared" si="3"/>
        <v>400000</v>
      </c>
      <c r="F25" s="12">
        <f t="shared" si="1"/>
        <v>0</v>
      </c>
    </row>
    <row r="26" ht="15.75" customHeight="1">
      <c r="A26" s="3" t="s">
        <v>87</v>
      </c>
      <c r="B26" s="21">
        <v>800000.0</v>
      </c>
      <c r="C26" s="20">
        <v>1.0</v>
      </c>
      <c r="D26" s="4">
        <f t="shared" si="2"/>
        <v>400000</v>
      </c>
      <c r="E26" s="4">
        <f t="shared" si="3"/>
        <v>400000</v>
      </c>
      <c r="F26" s="12">
        <f t="shared" si="1"/>
        <v>0</v>
      </c>
    </row>
    <row r="27" ht="15.75" customHeight="1">
      <c r="A27" s="3" t="s">
        <v>88</v>
      </c>
      <c r="B27" s="21">
        <v>800000.0</v>
      </c>
      <c r="C27" s="20">
        <v>1.0</v>
      </c>
      <c r="D27" s="4">
        <f t="shared" si="2"/>
        <v>400000</v>
      </c>
      <c r="E27" s="4">
        <f t="shared" si="3"/>
        <v>400000</v>
      </c>
      <c r="F27" s="12">
        <f t="shared" si="1"/>
        <v>0</v>
      </c>
    </row>
    <row r="28" ht="15.75" customHeight="1">
      <c r="A28" s="3" t="s">
        <v>89</v>
      </c>
      <c r="B28" s="21">
        <v>800000.0</v>
      </c>
      <c r="C28" s="20">
        <v>1.0</v>
      </c>
      <c r="D28" s="4">
        <f t="shared" si="2"/>
        <v>400000</v>
      </c>
      <c r="E28" s="4">
        <f t="shared" si="3"/>
        <v>400000</v>
      </c>
      <c r="F28" s="12">
        <f t="shared" si="1"/>
        <v>0</v>
      </c>
    </row>
    <row r="29" ht="15.75" customHeight="1">
      <c r="A29" s="3" t="s">
        <v>90</v>
      </c>
      <c r="B29" s="21">
        <v>800000.0</v>
      </c>
      <c r="C29" s="20">
        <v>1.0</v>
      </c>
      <c r="D29" s="4">
        <f t="shared" si="2"/>
        <v>400000</v>
      </c>
      <c r="E29" s="4">
        <f t="shared" si="3"/>
        <v>400000</v>
      </c>
      <c r="F29" s="12">
        <f t="shared" si="1"/>
        <v>0</v>
      </c>
    </row>
    <row r="30" ht="15.75" customHeight="1">
      <c r="A30" s="3" t="s">
        <v>91</v>
      </c>
      <c r="B30" s="21">
        <v>800000.0</v>
      </c>
      <c r="C30" s="20">
        <v>1.0</v>
      </c>
      <c r="D30" s="4">
        <f t="shared" si="2"/>
        <v>400000</v>
      </c>
      <c r="E30" s="4">
        <f t="shared" si="3"/>
        <v>400000</v>
      </c>
      <c r="F30" s="12">
        <f t="shared" si="1"/>
        <v>0</v>
      </c>
    </row>
    <row r="31" ht="15.75" customHeight="1">
      <c r="A31" s="3" t="s">
        <v>92</v>
      </c>
      <c r="B31" s="21">
        <v>800000.0</v>
      </c>
      <c r="C31" s="20">
        <v>1.0</v>
      </c>
      <c r="D31" s="4">
        <f t="shared" si="2"/>
        <v>400000</v>
      </c>
      <c r="E31" s="4">
        <f t="shared" si="3"/>
        <v>400000</v>
      </c>
      <c r="F31" s="12">
        <f t="shared" si="1"/>
        <v>0</v>
      </c>
    </row>
    <row r="32" ht="15.75" customHeight="1">
      <c r="A32" s="3" t="s">
        <v>93</v>
      </c>
      <c r="B32" s="21">
        <v>800000.0</v>
      </c>
      <c r="C32" s="20">
        <v>1.0</v>
      </c>
      <c r="D32" s="4">
        <f t="shared" si="2"/>
        <v>400000</v>
      </c>
      <c r="E32" s="4">
        <f t="shared" si="3"/>
        <v>400000</v>
      </c>
      <c r="F32" s="12">
        <f t="shared" si="1"/>
        <v>0</v>
      </c>
    </row>
    <row r="33" ht="15.75" customHeight="1">
      <c r="A33" s="3" t="s">
        <v>94</v>
      </c>
      <c r="B33" s="21">
        <v>800000.0</v>
      </c>
      <c r="C33" s="20">
        <v>1.0</v>
      </c>
      <c r="D33" s="4">
        <f t="shared" si="2"/>
        <v>400000</v>
      </c>
      <c r="E33" s="4">
        <f t="shared" si="3"/>
        <v>400000</v>
      </c>
      <c r="F33" s="12">
        <f t="shared" si="1"/>
        <v>0</v>
      </c>
    </row>
    <row r="34" ht="15.75" customHeight="1">
      <c r="A34" s="3" t="s">
        <v>95</v>
      </c>
      <c r="B34" s="21">
        <v>800000.0</v>
      </c>
      <c r="C34" s="20">
        <v>1.0</v>
      </c>
      <c r="D34" s="4">
        <f t="shared" si="2"/>
        <v>400000</v>
      </c>
      <c r="E34" s="4">
        <f t="shared" si="3"/>
        <v>400000</v>
      </c>
      <c r="F34" s="12">
        <f t="shared" si="1"/>
        <v>0</v>
      </c>
    </row>
    <row r="35" ht="15.75" customHeight="1">
      <c r="A35" s="3" t="s">
        <v>96</v>
      </c>
      <c r="B35" s="21">
        <v>800000.0</v>
      </c>
      <c r="C35" s="20">
        <v>1.0</v>
      </c>
      <c r="D35" s="4">
        <f t="shared" si="2"/>
        <v>400000</v>
      </c>
      <c r="E35" s="4">
        <f t="shared" si="3"/>
        <v>400000</v>
      </c>
      <c r="F35" s="12">
        <f t="shared" si="1"/>
        <v>0</v>
      </c>
    </row>
    <row r="36" ht="15.75" customHeight="1">
      <c r="A36" s="3" t="s">
        <v>97</v>
      </c>
      <c r="B36" s="21">
        <v>800000.0</v>
      </c>
      <c r="C36" s="20">
        <v>1.0</v>
      </c>
      <c r="D36" s="4">
        <f t="shared" si="2"/>
        <v>400000</v>
      </c>
      <c r="E36" s="4">
        <f t="shared" si="3"/>
        <v>400000</v>
      </c>
      <c r="F36" s="12">
        <f t="shared" si="1"/>
        <v>0</v>
      </c>
    </row>
    <row r="37" ht="15.75" customHeight="1">
      <c r="A37" s="3" t="s">
        <v>98</v>
      </c>
      <c r="B37" s="21">
        <v>800000.0</v>
      </c>
      <c r="C37" s="20">
        <v>1.0</v>
      </c>
      <c r="D37" s="4">
        <f t="shared" si="2"/>
        <v>400000</v>
      </c>
      <c r="E37" s="4">
        <f t="shared" si="3"/>
        <v>400000</v>
      </c>
      <c r="F37" s="12">
        <f t="shared" si="1"/>
        <v>0</v>
      </c>
    </row>
    <row r="38" ht="15.75" customHeight="1">
      <c r="A38" s="3" t="s">
        <v>99</v>
      </c>
      <c r="B38" s="21">
        <v>800000.0</v>
      </c>
      <c r="C38" s="20">
        <v>1.0</v>
      </c>
      <c r="D38" s="4">
        <f t="shared" si="2"/>
        <v>400000</v>
      </c>
      <c r="E38" s="4">
        <f t="shared" si="3"/>
        <v>400000</v>
      </c>
      <c r="F38" s="12">
        <f t="shared" si="1"/>
        <v>0</v>
      </c>
    </row>
    <row r="39" ht="15.75" customHeight="1">
      <c r="A39" s="3" t="s">
        <v>100</v>
      </c>
      <c r="B39" s="21">
        <v>800000.0</v>
      </c>
      <c r="C39" s="20">
        <v>1.0</v>
      </c>
      <c r="D39" s="4">
        <f t="shared" si="2"/>
        <v>400000</v>
      </c>
      <c r="E39" s="4">
        <f t="shared" si="3"/>
        <v>400000</v>
      </c>
      <c r="F39" s="12">
        <f t="shared" si="1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>
      <c r="A1" s="8" t="s">
        <v>101</v>
      </c>
    </row>
    <row r="2">
      <c r="A2" s="3" t="s">
        <v>102</v>
      </c>
    </row>
    <row r="4">
      <c r="A4" s="9" t="s">
        <v>39</v>
      </c>
      <c r="B4" s="9" t="s">
        <v>40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  <c r="H4" s="9" t="s">
        <v>108</v>
      </c>
      <c r="I4" s="9" t="s">
        <v>109</v>
      </c>
      <c r="J4" s="9" t="s">
        <v>110</v>
      </c>
      <c r="K4" s="9" t="s">
        <v>111</v>
      </c>
      <c r="L4" s="9" t="s">
        <v>112</v>
      </c>
      <c r="M4" s="9" t="s">
        <v>113</v>
      </c>
      <c r="N4" s="9" t="s">
        <v>114</v>
      </c>
      <c r="O4" s="9" t="s">
        <v>115</v>
      </c>
      <c r="P4" s="9" t="s">
        <v>116</v>
      </c>
      <c r="Q4" s="9" t="s">
        <v>117</v>
      </c>
      <c r="R4" s="9" t="s">
        <v>118</v>
      </c>
      <c r="S4" s="9" t="s">
        <v>119</v>
      </c>
      <c r="T4" s="9" t="s">
        <v>120</v>
      </c>
      <c r="U4" s="9" t="s">
        <v>121</v>
      </c>
      <c r="V4" s="9" t="s">
        <v>122</v>
      </c>
      <c r="W4" s="9" t="s">
        <v>123</v>
      </c>
      <c r="X4" s="9" t="s">
        <v>124</v>
      </c>
      <c r="Y4" s="9" t="s">
        <v>125</v>
      </c>
      <c r="Z4" s="9" t="s">
        <v>126</v>
      </c>
      <c r="AA4" s="9" t="s">
        <v>127</v>
      </c>
      <c r="AB4" s="9" t="s">
        <v>128</v>
      </c>
      <c r="AC4" s="9" t="s">
        <v>129</v>
      </c>
      <c r="AD4" s="9" t="s">
        <v>130</v>
      </c>
      <c r="AE4" s="9" t="s">
        <v>131</v>
      </c>
      <c r="AF4" s="9" t="s">
        <v>132</v>
      </c>
      <c r="AG4" s="9" t="s">
        <v>133</v>
      </c>
      <c r="AH4" s="9" t="s">
        <v>134</v>
      </c>
      <c r="AI4" s="9" t="s">
        <v>135</v>
      </c>
      <c r="AJ4" s="9" t="s">
        <v>136</v>
      </c>
      <c r="AK4" s="9" t="s">
        <v>137</v>
      </c>
      <c r="AL4" s="9" t="s">
        <v>138</v>
      </c>
    </row>
    <row r="5">
      <c r="A5" s="3" t="str">
        <f>Acquisition_Plan!A4</f>
        <v>2026-02-01</v>
      </c>
      <c r="B5" s="12">
        <f>Acquisition_Plan!D4+Acquisition_Plan!F4+Acquisition_Plan!E4</f>
        <v>200000</v>
      </c>
      <c r="C5" s="12">
        <f>$B5*Inputs!$B$15*Curves!$C$5</f>
        <v>157967.5004</v>
      </c>
      <c r="D5" s="12">
        <f>$B5*Inputs!$B$15*Curves!$C$6</f>
        <v>75324.31547</v>
      </c>
      <c r="E5" s="12">
        <f>$B5*Inputs!$B$15*Curves!$C$7</f>
        <v>48283.66441</v>
      </c>
      <c r="F5" s="12">
        <f>$B5*Inputs!$B$15*Curves!$C$8</f>
        <v>33970.45305</v>
      </c>
      <c r="G5" s="12">
        <f>$B5*Inputs!$B$15*Curves!$C$9</f>
        <v>20196.4472</v>
      </c>
      <c r="H5" s="12">
        <f>$B5*Inputs!$B$15*Curves!$C$10</f>
        <v>18104.61341</v>
      </c>
      <c r="I5" s="12">
        <f>$B5*Inputs!$B$15*Curves!$C$11</f>
        <v>15635.9499</v>
      </c>
      <c r="J5" s="12">
        <f>$B5*Inputs!$B$15*Curves!$C$12</f>
        <v>13815.23488</v>
      </c>
      <c r="K5" s="12">
        <f>$B5*Inputs!$B$15*Curves!$C$13</f>
        <v>12350.26584</v>
      </c>
      <c r="L5" s="12">
        <f>$B5*Inputs!$B$15*Curves!$C$14</f>
        <v>14351.55549</v>
      </c>
      <c r="M5" s="12">
        <f>$B5*Inputs!$B$15*Curves!$C$15</f>
        <v>10000</v>
      </c>
      <c r="N5" s="12">
        <f>$B5*Inputs!$B$15*Curves!$C$16</f>
        <v>10000</v>
      </c>
      <c r="O5" s="12">
        <f>$B5*Inputs!$B$15*Curves!$C$17</f>
        <v>10000</v>
      </c>
      <c r="P5" s="12">
        <f>$B5*Inputs!$B$15*Curves!$C$18</f>
        <v>2500</v>
      </c>
      <c r="Q5" s="12">
        <f>$B5*Inputs!$B$15*Curves!$C$19</f>
        <v>2500</v>
      </c>
      <c r="R5" s="12">
        <f>$B5*Inputs!$B$15*Curves!$C$20</f>
        <v>2500</v>
      </c>
      <c r="S5" s="12">
        <f>$B5*Inputs!$B$15*Curves!$C$21</f>
        <v>2500</v>
      </c>
      <c r="T5" s="12">
        <f>$B5*Inputs!$B$15*Curves!$C$22</f>
        <v>2500</v>
      </c>
      <c r="U5" s="12">
        <f>$B5*Inputs!$B$15*Curves!$C$23</f>
        <v>2500</v>
      </c>
      <c r="V5" s="12">
        <f>$B5*Inputs!$B$15*Curves!$C$24</f>
        <v>2500</v>
      </c>
      <c r="W5" s="12">
        <f>$B5*Inputs!$B$15*Curves!$C$25</f>
        <v>2500</v>
      </c>
      <c r="X5" s="12">
        <f>$B5*Inputs!$B$15*Curves!$C$26</f>
        <v>2500</v>
      </c>
      <c r="Y5" s="12">
        <f>$B5*Inputs!$B$15*Curves!$C$27</f>
        <v>2500</v>
      </c>
      <c r="Z5" s="12">
        <f>$B5*Inputs!$B$15*Curves!$C$28</f>
        <v>2500</v>
      </c>
      <c r="AA5" s="12">
        <f>$B5*Inputs!$B$15*Curves!$C$29</f>
        <v>2500</v>
      </c>
      <c r="AB5" s="12">
        <f>$B5*Inputs!$B$15*Curves!$C$30</f>
        <v>2500</v>
      </c>
      <c r="AC5" s="12">
        <f>$B5*Inputs!$B$15*Curves!$C$31</f>
        <v>2500</v>
      </c>
      <c r="AD5" s="12">
        <f>$B5*Inputs!$B$15*Curves!$C$32</f>
        <v>2500</v>
      </c>
      <c r="AE5" s="12">
        <f>$B5*Inputs!$B$15*Curves!$C$33</f>
        <v>2500</v>
      </c>
      <c r="AF5" s="12">
        <f>$B5*Inputs!$B$15*Curves!$C$34</f>
        <v>2500</v>
      </c>
      <c r="AG5" s="12">
        <f>$B5*Inputs!$B$15*Curves!$C$35</f>
        <v>2500</v>
      </c>
      <c r="AH5" s="12">
        <f>$B5*Inputs!$B$15*Curves!$C$36</f>
        <v>2500</v>
      </c>
      <c r="AI5" s="12">
        <f>$B5*Inputs!$B$15*Curves!$C$37</f>
        <v>2500</v>
      </c>
      <c r="AJ5" s="12">
        <f>$B5*Inputs!$B$15*Curves!$C$38</f>
        <v>2500</v>
      </c>
      <c r="AK5" s="12">
        <f>$B5*Inputs!$B$15*Curves!$C$39</f>
        <v>2500</v>
      </c>
      <c r="AL5" s="12">
        <f>$B5*Inputs!$B$15*Curves!$C$40</f>
        <v>2500</v>
      </c>
    </row>
    <row r="6">
      <c r="A6" s="3" t="str">
        <f>Acquisition_Plan!A5</f>
        <v>2026-03-03</v>
      </c>
      <c r="B6" s="12">
        <f>Acquisition_Plan!D5+Acquisition_Plan!F5+Acquisition_Plan!E5</f>
        <v>250000</v>
      </c>
      <c r="C6" s="12">
        <v>0.0</v>
      </c>
      <c r="D6" s="12">
        <f>$B6*Inputs!$B$15*Curves!$C$5</f>
        <v>197459.3754</v>
      </c>
      <c r="E6" s="12">
        <f>$B6*Inputs!$B$15*Curves!$C$6</f>
        <v>94155.39433</v>
      </c>
      <c r="F6" s="12">
        <f>$B6*Inputs!$B$15*Curves!$C$7</f>
        <v>60354.58051</v>
      </c>
      <c r="G6" s="12">
        <f>$B6*Inputs!$B$15*Curves!$C$8</f>
        <v>42463.06631</v>
      </c>
      <c r="H6" s="12">
        <f>$B6*Inputs!$B$15*Curves!$C$9</f>
        <v>25245.559</v>
      </c>
      <c r="I6" s="12">
        <f>$B6*Inputs!$B$15*Curves!$C$10</f>
        <v>22630.76677</v>
      </c>
      <c r="J6" s="12">
        <f>$B6*Inputs!$B$15*Curves!$C$11</f>
        <v>19544.93738</v>
      </c>
      <c r="K6" s="12">
        <f>$B6*Inputs!$B$15*Curves!$C$12</f>
        <v>17269.0436</v>
      </c>
      <c r="L6" s="12">
        <f>$B6*Inputs!$B$15*Curves!$C$13</f>
        <v>15437.8323</v>
      </c>
      <c r="M6" s="12">
        <f>$B6*Inputs!$B$15*Curves!$C$14</f>
        <v>17939.44436</v>
      </c>
      <c r="N6" s="12">
        <f>$B6*Inputs!$B$15*Curves!$C$15</f>
        <v>12500</v>
      </c>
      <c r="O6" s="12">
        <f>$B6*Inputs!$B$15*Curves!$C$16</f>
        <v>12500</v>
      </c>
      <c r="P6" s="12">
        <f>$B6*Inputs!$B$15*Curves!$C$17</f>
        <v>12500</v>
      </c>
      <c r="Q6" s="12">
        <f>$B6*Inputs!$B$15*Curves!$C$18</f>
        <v>3125</v>
      </c>
      <c r="R6" s="12">
        <f>$B6*Inputs!$B$15*Curves!$C$19</f>
        <v>3125</v>
      </c>
      <c r="S6" s="12">
        <f>$B6*Inputs!$B$15*Curves!$C$20</f>
        <v>3125</v>
      </c>
      <c r="T6" s="12">
        <f>$B6*Inputs!$B$15*Curves!$C$21</f>
        <v>3125</v>
      </c>
      <c r="U6" s="12">
        <f>$B6*Inputs!$B$15*Curves!$C$22</f>
        <v>3125</v>
      </c>
      <c r="V6" s="12">
        <f>$B6*Inputs!$B$15*Curves!$C$23</f>
        <v>3125</v>
      </c>
      <c r="W6" s="12">
        <f>$B6*Inputs!$B$15*Curves!$C$24</f>
        <v>3125</v>
      </c>
      <c r="X6" s="12">
        <f>$B6*Inputs!$B$15*Curves!$C$25</f>
        <v>3125</v>
      </c>
      <c r="Y6" s="12">
        <f>$B6*Inputs!$B$15*Curves!$C$26</f>
        <v>3125</v>
      </c>
      <c r="Z6" s="12">
        <f>$B6*Inputs!$B$15*Curves!$C$27</f>
        <v>3125</v>
      </c>
      <c r="AA6" s="12">
        <f>$B6*Inputs!$B$15*Curves!$C$28</f>
        <v>3125</v>
      </c>
      <c r="AB6" s="12">
        <f>$B6*Inputs!$B$15*Curves!$C$29</f>
        <v>3125</v>
      </c>
      <c r="AC6" s="12">
        <f>$B6*Inputs!$B$15*Curves!$C$30</f>
        <v>3125</v>
      </c>
      <c r="AD6" s="12">
        <f>$B6*Inputs!$B$15*Curves!$C$31</f>
        <v>3125</v>
      </c>
      <c r="AE6" s="12">
        <f>$B6*Inputs!$B$15*Curves!$C$32</f>
        <v>3125</v>
      </c>
      <c r="AF6" s="12">
        <f>$B6*Inputs!$B$15*Curves!$C$33</f>
        <v>3125</v>
      </c>
      <c r="AG6" s="12">
        <f>$B6*Inputs!$B$15*Curves!$C$34</f>
        <v>3125</v>
      </c>
      <c r="AH6" s="12">
        <f>$B6*Inputs!$B$15*Curves!$C$35</f>
        <v>3125</v>
      </c>
      <c r="AI6" s="12">
        <f>$B6*Inputs!$B$15*Curves!$C$36</f>
        <v>3125</v>
      </c>
      <c r="AJ6" s="12">
        <f>$B6*Inputs!$B$15*Curves!$C$37</f>
        <v>3125</v>
      </c>
      <c r="AK6" s="12">
        <f>$B6*Inputs!$B$15*Curves!$C$38</f>
        <v>3125</v>
      </c>
      <c r="AL6" s="12">
        <f>$B6*Inputs!$B$15*Curves!$C$39</f>
        <v>3125</v>
      </c>
    </row>
    <row r="7">
      <c r="A7" s="3" t="str">
        <f>Acquisition_Plan!A6</f>
        <v>2026-04-02</v>
      </c>
      <c r="B7" s="12">
        <f>Acquisition_Plan!D6+Acquisition_Plan!F6+Acquisition_Plan!E6</f>
        <v>300000</v>
      </c>
      <c r="C7" s="12">
        <v>0.0</v>
      </c>
      <c r="D7" s="12">
        <v>0.0</v>
      </c>
      <c r="E7" s="12">
        <f>$B7*Inputs!$B$15*Curves!$C$5</f>
        <v>236951.2505</v>
      </c>
      <c r="F7" s="12">
        <f>$B7*Inputs!$B$15*Curves!$C$6</f>
        <v>112986.4732</v>
      </c>
      <c r="G7" s="12">
        <f>$B7*Inputs!$B$15*Curves!$C$7</f>
        <v>72425.49661</v>
      </c>
      <c r="H7" s="12">
        <f>$B7*Inputs!$B$15*Curves!$C$8</f>
        <v>50955.67957</v>
      </c>
      <c r="I7" s="12">
        <f>$B7*Inputs!$B$15*Curves!$C$9</f>
        <v>30294.67081</v>
      </c>
      <c r="J7" s="12">
        <f>$B7*Inputs!$B$15*Curves!$C$10</f>
        <v>27156.92012</v>
      </c>
      <c r="K7" s="12">
        <f>$B7*Inputs!$B$15*Curves!$C$11</f>
        <v>23453.92485</v>
      </c>
      <c r="L7" s="12">
        <f>$B7*Inputs!$B$15*Curves!$C$12</f>
        <v>20722.85232</v>
      </c>
      <c r="M7" s="12">
        <f>$B7*Inputs!$B$15*Curves!$C$13</f>
        <v>18525.39876</v>
      </c>
      <c r="N7" s="12">
        <f>$B7*Inputs!$B$15*Curves!$C$14</f>
        <v>21527.33324</v>
      </c>
      <c r="O7" s="12">
        <f>$B7*Inputs!$B$15*Curves!$C$15</f>
        <v>15000</v>
      </c>
      <c r="P7" s="12">
        <f>$B7*Inputs!$B$15*Curves!$C$16</f>
        <v>15000</v>
      </c>
      <c r="Q7" s="12">
        <f>$B7*Inputs!$B$15*Curves!$C$17</f>
        <v>15000</v>
      </c>
      <c r="R7" s="12">
        <f>$B7*Inputs!$B$15*Curves!$C$18</f>
        <v>3750</v>
      </c>
      <c r="S7" s="12">
        <f>$B7*Inputs!$B$15*Curves!$C$19</f>
        <v>3750</v>
      </c>
      <c r="T7" s="12">
        <f>$B7*Inputs!$B$15*Curves!$C$20</f>
        <v>3750</v>
      </c>
      <c r="U7" s="12">
        <f>$B7*Inputs!$B$15*Curves!$C$21</f>
        <v>3750</v>
      </c>
      <c r="V7" s="12">
        <f>$B7*Inputs!$B$15*Curves!$C$22</f>
        <v>3750</v>
      </c>
      <c r="W7" s="12">
        <f>$B7*Inputs!$B$15*Curves!$C$23</f>
        <v>3750</v>
      </c>
      <c r="X7" s="12">
        <f>$B7*Inputs!$B$15*Curves!$C$24</f>
        <v>3750</v>
      </c>
      <c r="Y7" s="12">
        <f>$B7*Inputs!$B$15*Curves!$C$25</f>
        <v>3750</v>
      </c>
      <c r="Z7" s="12">
        <f>$B7*Inputs!$B$15*Curves!$C$26</f>
        <v>3750</v>
      </c>
      <c r="AA7" s="12">
        <f>$B7*Inputs!$B$15*Curves!$C$27</f>
        <v>3750</v>
      </c>
      <c r="AB7" s="12">
        <f>$B7*Inputs!$B$15*Curves!$C$28</f>
        <v>3750</v>
      </c>
      <c r="AC7" s="12">
        <f>$B7*Inputs!$B$15*Curves!$C$29</f>
        <v>3750</v>
      </c>
      <c r="AD7" s="12">
        <f>$B7*Inputs!$B$15*Curves!$C$30</f>
        <v>3750</v>
      </c>
      <c r="AE7" s="12">
        <f>$B7*Inputs!$B$15*Curves!$C$31</f>
        <v>3750</v>
      </c>
      <c r="AF7" s="12">
        <f>$B7*Inputs!$B$15*Curves!$C$32</f>
        <v>3750</v>
      </c>
      <c r="AG7" s="12">
        <f>$B7*Inputs!$B$15*Curves!$C$33</f>
        <v>3750</v>
      </c>
      <c r="AH7" s="12">
        <f>$B7*Inputs!$B$15*Curves!$C$34</f>
        <v>3750</v>
      </c>
      <c r="AI7" s="12">
        <f>$B7*Inputs!$B$15*Curves!$C$35</f>
        <v>3750</v>
      </c>
      <c r="AJ7" s="12">
        <f>$B7*Inputs!$B$15*Curves!$C$36</f>
        <v>3750</v>
      </c>
      <c r="AK7" s="12">
        <f>$B7*Inputs!$B$15*Curves!$C$37</f>
        <v>3750</v>
      </c>
      <c r="AL7" s="12">
        <f>$B7*Inputs!$B$15*Curves!$C$38</f>
        <v>3750</v>
      </c>
    </row>
    <row r="8">
      <c r="A8" s="3" t="str">
        <f>Acquisition_Plan!A7</f>
        <v>2026-05-02</v>
      </c>
      <c r="B8" s="12">
        <f>Acquisition_Plan!D7+Acquisition_Plan!F7+Acquisition_Plan!E7</f>
        <v>300000</v>
      </c>
      <c r="C8" s="12">
        <v>0.0</v>
      </c>
      <c r="D8" s="12">
        <v>0.0</v>
      </c>
      <c r="E8" s="12">
        <v>0.0</v>
      </c>
      <c r="F8" s="12">
        <f>$B8*Inputs!$B$15*Curves!$C$5</f>
        <v>236951.2505</v>
      </c>
      <c r="G8" s="12">
        <f>$B8*Inputs!$B$15*Curves!$C$6</f>
        <v>112986.4732</v>
      </c>
      <c r="H8" s="12">
        <f>$B8*Inputs!$B$15*Curves!$C$7</f>
        <v>72425.49661</v>
      </c>
      <c r="I8" s="12">
        <f>$B8*Inputs!$B$15*Curves!$C$8</f>
        <v>50955.67957</v>
      </c>
      <c r="J8" s="12">
        <f>$B8*Inputs!$B$15*Curves!$C$9</f>
        <v>30294.67081</v>
      </c>
      <c r="K8" s="12">
        <f>$B8*Inputs!$B$15*Curves!$C$10</f>
        <v>27156.92012</v>
      </c>
      <c r="L8" s="12">
        <f>$B8*Inputs!$B$15*Curves!$C$11</f>
        <v>23453.92485</v>
      </c>
      <c r="M8" s="12">
        <f>$B8*Inputs!$B$15*Curves!$C$12</f>
        <v>20722.85232</v>
      </c>
      <c r="N8" s="12">
        <f>$B8*Inputs!$B$15*Curves!$C$13</f>
        <v>18525.39876</v>
      </c>
      <c r="O8" s="12">
        <f>$B8*Inputs!$B$15*Curves!$C$14</f>
        <v>21527.33324</v>
      </c>
      <c r="P8" s="12">
        <f>$B8*Inputs!$B$15*Curves!$C$15</f>
        <v>15000</v>
      </c>
      <c r="Q8" s="12">
        <f>$B8*Inputs!$B$15*Curves!$C$16</f>
        <v>15000</v>
      </c>
      <c r="R8" s="12">
        <f>$B8*Inputs!$B$15*Curves!$C$17</f>
        <v>15000</v>
      </c>
      <c r="S8" s="12">
        <f>$B8*Inputs!$B$15*Curves!$C$18</f>
        <v>3750</v>
      </c>
      <c r="T8" s="12">
        <f>$B8*Inputs!$B$15*Curves!$C$19</f>
        <v>3750</v>
      </c>
      <c r="U8" s="12">
        <f>$B8*Inputs!$B$15*Curves!$C$20</f>
        <v>3750</v>
      </c>
      <c r="V8" s="12">
        <f>$B8*Inputs!$B$15*Curves!$C$21</f>
        <v>3750</v>
      </c>
      <c r="W8" s="12">
        <f>$B8*Inputs!$B$15*Curves!$C$22</f>
        <v>3750</v>
      </c>
      <c r="X8" s="12">
        <f>$B8*Inputs!$B$15*Curves!$C$23</f>
        <v>3750</v>
      </c>
      <c r="Y8" s="12">
        <f>$B8*Inputs!$B$15*Curves!$C$24</f>
        <v>3750</v>
      </c>
      <c r="Z8" s="12">
        <f>$B8*Inputs!$B$15*Curves!$C$25</f>
        <v>3750</v>
      </c>
      <c r="AA8" s="12">
        <f>$B8*Inputs!$B$15*Curves!$C$26</f>
        <v>3750</v>
      </c>
      <c r="AB8" s="12">
        <f>$B8*Inputs!$B$15*Curves!$C$27</f>
        <v>3750</v>
      </c>
      <c r="AC8" s="12">
        <f>$B8*Inputs!$B$15*Curves!$C$28</f>
        <v>3750</v>
      </c>
      <c r="AD8" s="12">
        <f>$B8*Inputs!$B$15*Curves!$C$29</f>
        <v>3750</v>
      </c>
      <c r="AE8" s="12">
        <f>$B8*Inputs!$B$15*Curves!$C$30</f>
        <v>3750</v>
      </c>
      <c r="AF8" s="12">
        <f>$B8*Inputs!$B$15*Curves!$C$31</f>
        <v>3750</v>
      </c>
      <c r="AG8" s="12">
        <f>$B8*Inputs!$B$15*Curves!$C$32</f>
        <v>3750</v>
      </c>
      <c r="AH8" s="12">
        <f>$B8*Inputs!$B$15*Curves!$C$33</f>
        <v>3750</v>
      </c>
      <c r="AI8" s="12">
        <f>$B8*Inputs!$B$15*Curves!$C$34</f>
        <v>3750</v>
      </c>
      <c r="AJ8" s="12">
        <f>$B8*Inputs!$B$15*Curves!$C$35</f>
        <v>3750</v>
      </c>
      <c r="AK8" s="12">
        <f>$B8*Inputs!$B$15*Curves!$C$36</f>
        <v>3750</v>
      </c>
      <c r="AL8" s="12">
        <f>$B8*Inputs!$B$15*Curves!$C$37</f>
        <v>3750</v>
      </c>
    </row>
    <row r="9">
      <c r="A9" s="3" t="str">
        <f>Acquisition_Plan!A8</f>
        <v>2026-06-01</v>
      </c>
      <c r="B9" s="12">
        <f>Acquisition_Plan!D8+Acquisition_Plan!F8+Acquisition_Plan!E8</f>
        <v>400000</v>
      </c>
      <c r="C9" s="12">
        <v>0.0</v>
      </c>
      <c r="D9" s="12">
        <v>0.0</v>
      </c>
      <c r="E9" s="12">
        <v>0.0</v>
      </c>
      <c r="F9" s="12">
        <v>0.0</v>
      </c>
      <c r="G9" s="12">
        <f>$B9*Inputs!$B$15*Curves!$C$5</f>
        <v>315935.0007</v>
      </c>
      <c r="H9" s="12">
        <f>$B9*Inputs!$B$15*Curves!$C$6</f>
        <v>150648.6309</v>
      </c>
      <c r="I9" s="12">
        <f>$B9*Inputs!$B$15*Curves!$C$7</f>
        <v>96567.32882</v>
      </c>
      <c r="J9" s="12">
        <f>$B9*Inputs!$B$15*Curves!$C$8</f>
        <v>67940.9061</v>
      </c>
      <c r="K9" s="12">
        <f>$B9*Inputs!$B$15*Curves!$C$9</f>
        <v>40392.89441</v>
      </c>
      <c r="L9" s="12">
        <f>$B9*Inputs!$B$15*Curves!$C$10</f>
        <v>36209.22683</v>
      </c>
      <c r="M9" s="12">
        <f>$B9*Inputs!$B$15*Curves!$C$11</f>
        <v>31271.8998</v>
      </c>
      <c r="N9" s="12">
        <f>$B9*Inputs!$B$15*Curves!$C$12</f>
        <v>27630.46976</v>
      </c>
      <c r="O9" s="12">
        <f>$B9*Inputs!$B$15*Curves!$C$13</f>
        <v>24700.53167</v>
      </c>
      <c r="P9" s="12">
        <f>$B9*Inputs!$B$15*Curves!$C$14</f>
        <v>28703.11098</v>
      </c>
      <c r="Q9" s="12">
        <f>$B9*Inputs!$B$15*Curves!$C$15</f>
        <v>20000</v>
      </c>
      <c r="R9" s="12">
        <f>$B9*Inputs!$B$15*Curves!$C$16</f>
        <v>20000</v>
      </c>
      <c r="S9" s="12">
        <f>$B9*Inputs!$B$15*Curves!$C$17</f>
        <v>20000</v>
      </c>
      <c r="T9" s="12">
        <f>$B9*Inputs!$B$15*Curves!$C$18</f>
        <v>5000</v>
      </c>
      <c r="U9" s="12">
        <f>$B9*Inputs!$B$15*Curves!$C$19</f>
        <v>5000</v>
      </c>
      <c r="V9" s="12">
        <f>$B9*Inputs!$B$15*Curves!$C$20</f>
        <v>5000</v>
      </c>
      <c r="W9" s="12">
        <f>$B9*Inputs!$B$15*Curves!$C$21</f>
        <v>5000</v>
      </c>
      <c r="X9" s="12">
        <f>$B9*Inputs!$B$15*Curves!$C$22</f>
        <v>5000</v>
      </c>
      <c r="Y9" s="12">
        <f>$B9*Inputs!$B$15*Curves!$C$23</f>
        <v>5000</v>
      </c>
      <c r="Z9" s="12">
        <f>$B9*Inputs!$B$15*Curves!$C$24</f>
        <v>5000</v>
      </c>
      <c r="AA9" s="12">
        <f>$B9*Inputs!$B$15*Curves!$C$25</f>
        <v>5000</v>
      </c>
      <c r="AB9" s="12">
        <f>$B9*Inputs!$B$15*Curves!$C$26</f>
        <v>5000</v>
      </c>
      <c r="AC9" s="12">
        <f>$B9*Inputs!$B$15*Curves!$C$27</f>
        <v>5000</v>
      </c>
      <c r="AD9" s="12">
        <f>$B9*Inputs!$B$15*Curves!$C$28</f>
        <v>5000</v>
      </c>
      <c r="AE9" s="12">
        <f>$B9*Inputs!$B$15*Curves!$C$29</f>
        <v>5000</v>
      </c>
      <c r="AF9" s="12">
        <f>$B9*Inputs!$B$15*Curves!$C$30</f>
        <v>5000</v>
      </c>
      <c r="AG9" s="12">
        <f>$B9*Inputs!$B$15*Curves!$C$31</f>
        <v>5000</v>
      </c>
      <c r="AH9" s="12">
        <f>$B9*Inputs!$B$15*Curves!$C$32</f>
        <v>5000</v>
      </c>
      <c r="AI9" s="12">
        <f>$B9*Inputs!$B$15*Curves!$C$33</f>
        <v>5000</v>
      </c>
      <c r="AJ9" s="12">
        <f>$B9*Inputs!$B$15*Curves!$C$34</f>
        <v>5000</v>
      </c>
      <c r="AK9" s="12">
        <f>$B9*Inputs!$B$15*Curves!$C$35</f>
        <v>5000</v>
      </c>
      <c r="AL9" s="12">
        <f>$B9*Inputs!$B$15*Curves!$C$36</f>
        <v>5000</v>
      </c>
    </row>
    <row r="10">
      <c r="A10" s="3" t="str">
        <f>Acquisition_Plan!A9</f>
        <v>2026-07-01</v>
      </c>
      <c r="B10" s="12">
        <f>Acquisition_Plan!D9+Acquisition_Plan!F9+Acquisition_Plan!E9</f>
        <v>400000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f>$B10*Inputs!$B$15*Curves!$C$5</f>
        <v>315935.0007</v>
      </c>
      <c r="I10" s="12">
        <f>$B10*Inputs!$B$15*Curves!$C$6</f>
        <v>150648.6309</v>
      </c>
      <c r="J10" s="12">
        <f>$B10*Inputs!$B$15*Curves!$C$7</f>
        <v>96567.32882</v>
      </c>
      <c r="K10" s="12">
        <f>$B10*Inputs!$B$15*Curves!$C$8</f>
        <v>67940.9061</v>
      </c>
      <c r="L10" s="12">
        <f>$B10*Inputs!$B$15*Curves!$C$9</f>
        <v>40392.89441</v>
      </c>
      <c r="M10" s="12">
        <f>$B10*Inputs!$B$15*Curves!$C$10</f>
        <v>36209.22683</v>
      </c>
      <c r="N10" s="12">
        <f>$B10*Inputs!$B$15*Curves!$C$11</f>
        <v>31271.8998</v>
      </c>
      <c r="O10" s="12">
        <f>$B10*Inputs!$B$15*Curves!$C$12</f>
        <v>27630.46976</v>
      </c>
      <c r="P10" s="12">
        <f>$B10*Inputs!$B$15*Curves!$C$13</f>
        <v>24700.53167</v>
      </c>
      <c r="Q10" s="12">
        <f>$B10*Inputs!$B$15*Curves!$C$14</f>
        <v>28703.11098</v>
      </c>
      <c r="R10" s="12">
        <f>$B10*Inputs!$B$15*Curves!$C$15</f>
        <v>20000</v>
      </c>
      <c r="S10" s="12">
        <f>$B10*Inputs!$B$15*Curves!$C$16</f>
        <v>20000</v>
      </c>
      <c r="T10" s="12">
        <f>$B10*Inputs!$B$15*Curves!$C$17</f>
        <v>20000</v>
      </c>
      <c r="U10" s="12">
        <f>$B10*Inputs!$B$15*Curves!$C$18</f>
        <v>5000</v>
      </c>
      <c r="V10" s="12">
        <f>$B10*Inputs!$B$15*Curves!$C$19</f>
        <v>5000</v>
      </c>
      <c r="W10" s="12">
        <f>$B10*Inputs!$B$15*Curves!$C$20</f>
        <v>5000</v>
      </c>
      <c r="X10" s="12">
        <f>$B10*Inputs!$B$15*Curves!$C$21</f>
        <v>5000</v>
      </c>
      <c r="Y10" s="12">
        <f>$B10*Inputs!$B$15*Curves!$C$22</f>
        <v>5000</v>
      </c>
      <c r="Z10" s="12">
        <f>$B10*Inputs!$B$15*Curves!$C$23</f>
        <v>5000</v>
      </c>
      <c r="AA10" s="12">
        <f>$B10*Inputs!$B$15*Curves!$C$24</f>
        <v>5000</v>
      </c>
      <c r="AB10" s="12">
        <f>$B10*Inputs!$B$15*Curves!$C$25</f>
        <v>5000</v>
      </c>
      <c r="AC10" s="12">
        <f>$B10*Inputs!$B$15*Curves!$C$26</f>
        <v>5000</v>
      </c>
      <c r="AD10" s="12">
        <f>$B10*Inputs!$B$15*Curves!$C$27</f>
        <v>5000</v>
      </c>
      <c r="AE10" s="12">
        <f>$B10*Inputs!$B$15*Curves!$C$28</f>
        <v>5000</v>
      </c>
      <c r="AF10" s="12">
        <f>$B10*Inputs!$B$15*Curves!$C$29</f>
        <v>5000</v>
      </c>
      <c r="AG10" s="12">
        <f>$B10*Inputs!$B$15*Curves!$C$30</f>
        <v>5000</v>
      </c>
      <c r="AH10" s="12">
        <f>$B10*Inputs!$B$15*Curves!$C$31</f>
        <v>5000</v>
      </c>
      <c r="AI10" s="12">
        <f>$B10*Inputs!$B$15*Curves!$C$32</f>
        <v>5000</v>
      </c>
      <c r="AJ10" s="12">
        <f>$B10*Inputs!$B$15*Curves!$C$33</f>
        <v>5000</v>
      </c>
      <c r="AK10" s="12">
        <f>$B10*Inputs!$B$15*Curves!$C$34</f>
        <v>5000</v>
      </c>
      <c r="AL10" s="12">
        <f>$B10*Inputs!$B$15*Curves!$C$35</f>
        <v>5000</v>
      </c>
    </row>
    <row r="11">
      <c r="A11" s="3" t="str">
        <f>Acquisition_Plan!A10</f>
        <v>2026-07-31</v>
      </c>
      <c r="B11" s="12">
        <f>Acquisition_Plan!D10+Acquisition_Plan!F10+Acquisition_Plan!E10</f>
        <v>500000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f>$B11*Inputs!$B$15*Curves!$C$5</f>
        <v>394918.7509</v>
      </c>
      <c r="J11" s="12">
        <f>$B11*Inputs!$B$15*Curves!$C$6</f>
        <v>188310.7887</v>
      </c>
      <c r="K11" s="12">
        <f>$B11*Inputs!$B$15*Curves!$C$7</f>
        <v>120709.161</v>
      </c>
      <c r="L11" s="12">
        <f>$B11*Inputs!$B$15*Curves!$C$8</f>
        <v>84926.13262</v>
      </c>
      <c r="M11" s="12">
        <f>$B11*Inputs!$B$15*Curves!$C$9</f>
        <v>50491.11801</v>
      </c>
      <c r="N11" s="12">
        <f>$B11*Inputs!$B$15*Curves!$C$10</f>
        <v>45261.53353</v>
      </c>
      <c r="O11" s="12">
        <f>$B11*Inputs!$B$15*Curves!$C$11</f>
        <v>39089.87475</v>
      </c>
      <c r="P11" s="12">
        <f>$B11*Inputs!$B$15*Curves!$C$12</f>
        <v>34538.0872</v>
      </c>
      <c r="Q11" s="12">
        <f>$B11*Inputs!$B$15*Curves!$C$13</f>
        <v>30875.66459</v>
      </c>
      <c r="R11" s="12">
        <f>$B11*Inputs!$B$15*Curves!$C$14</f>
        <v>35878.88873</v>
      </c>
      <c r="S11" s="12">
        <f>$B11*Inputs!$B$15*Curves!$C$15</f>
        <v>25000</v>
      </c>
      <c r="T11" s="12">
        <f>$B11*Inputs!$B$15*Curves!$C$16</f>
        <v>25000</v>
      </c>
      <c r="U11" s="12">
        <f>$B11*Inputs!$B$15*Curves!$C$17</f>
        <v>25000</v>
      </c>
      <c r="V11" s="12">
        <f>$B11*Inputs!$B$15*Curves!$C$18</f>
        <v>6250</v>
      </c>
      <c r="W11" s="12">
        <f>$B11*Inputs!$B$15*Curves!$C$19</f>
        <v>6250</v>
      </c>
      <c r="X11" s="12">
        <f>$B11*Inputs!$B$15*Curves!$C$20</f>
        <v>6250</v>
      </c>
      <c r="Y11" s="12">
        <f>$B11*Inputs!$B$15*Curves!$C$21</f>
        <v>6250</v>
      </c>
      <c r="Z11" s="12">
        <f>$B11*Inputs!$B$15*Curves!$C$22</f>
        <v>6250</v>
      </c>
      <c r="AA11" s="12">
        <f>$B11*Inputs!$B$15*Curves!$C$23</f>
        <v>6250</v>
      </c>
      <c r="AB11" s="12">
        <f>$B11*Inputs!$B$15*Curves!$C$24</f>
        <v>6250</v>
      </c>
      <c r="AC11" s="12">
        <f>$B11*Inputs!$B$15*Curves!$C$25</f>
        <v>6250</v>
      </c>
      <c r="AD11" s="12">
        <f>$B11*Inputs!$B$15*Curves!$C$26</f>
        <v>6250</v>
      </c>
      <c r="AE11" s="12">
        <f>$B11*Inputs!$B$15*Curves!$C$27</f>
        <v>6250</v>
      </c>
      <c r="AF11" s="12">
        <f>$B11*Inputs!$B$15*Curves!$C$28</f>
        <v>6250</v>
      </c>
      <c r="AG11" s="12">
        <f>$B11*Inputs!$B$15*Curves!$C$29</f>
        <v>6250</v>
      </c>
      <c r="AH11" s="12">
        <f>$B11*Inputs!$B$15*Curves!$C$30</f>
        <v>6250</v>
      </c>
      <c r="AI11" s="12">
        <f>$B11*Inputs!$B$15*Curves!$C$31</f>
        <v>6250</v>
      </c>
      <c r="AJ11" s="12">
        <f>$B11*Inputs!$B$15*Curves!$C$32</f>
        <v>6250</v>
      </c>
      <c r="AK11" s="12">
        <f>$B11*Inputs!$B$15*Curves!$C$33</f>
        <v>6250</v>
      </c>
      <c r="AL11" s="12">
        <f>$B11*Inputs!$B$15*Curves!$C$34</f>
        <v>6250</v>
      </c>
    </row>
    <row r="12">
      <c r="A12" s="3" t="str">
        <f>Acquisition_Plan!A11</f>
        <v>2026-08-30</v>
      </c>
      <c r="B12" s="12">
        <f>Acquisition_Plan!D11+Acquisition_Plan!F11+Acquisition_Plan!E11</f>
        <v>500000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2">
        <v>0.0</v>
      </c>
      <c r="I12" s="12">
        <v>0.0</v>
      </c>
      <c r="J12" s="12">
        <f>$B12*Inputs!$B$15*Curves!$C$5</f>
        <v>394918.7509</v>
      </c>
      <c r="K12" s="12">
        <f>$B12*Inputs!$B$15*Curves!$C$6</f>
        <v>188310.7887</v>
      </c>
      <c r="L12" s="12">
        <f>$B12*Inputs!$B$15*Curves!$C$7</f>
        <v>120709.161</v>
      </c>
      <c r="M12" s="12">
        <f>$B12*Inputs!$B$15*Curves!$C$8</f>
        <v>84926.13262</v>
      </c>
      <c r="N12" s="12">
        <f>$B12*Inputs!$B$15*Curves!$C$9</f>
        <v>50491.11801</v>
      </c>
      <c r="O12" s="12">
        <f>$B12*Inputs!$B$15*Curves!$C$10</f>
        <v>45261.53353</v>
      </c>
      <c r="P12" s="12">
        <f>$B12*Inputs!$B$15*Curves!$C$11</f>
        <v>39089.87475</v>
      </c>
      <c r="Q12" s="12">
        <f>$B12*Inputs!$B$15*Curves!$C$12</f>
        <v>34538.0872</v>
      </c>
      <c r="R12" s="12">
        <f>$B12*Inputs!$B$15*Curves!$C$13</f>
        <v>30875.66459</v>
      </c>
      <c r="S12" s="12">
        <f>$B12*Inputs!$B$15*Curves!$C$14</f>
        <v>35878.88873</v>
      </c>
      <c r="T12" s="12">
        <f>$B12*Inputs!$B$15*Curves!$C$15</f>
        <v>25000</v>
      </c>
      <c r="U12" s="12">
        <f>$B12*Inputs!$B$15*Curves!$C$16</f>
        <v>25000</v>
      </c>
      <c r="V12" s="12">
        <f>$B12*Inputs!$B$15*Curves!$C$17</f>
        <v>25000</v>
      </c>
      <c r="W12" s="12">
        <f>$B12*Inputs!$B$15*Curves!$C$18</f>
        <v>6250</v>
      </c>
      <c r="X12" s="12">
        <f>$B12*Inputs!$B$15*Curves!$C$19</f>
        <v>6250</v>
      </c>
      <c r="Y12" s="12">
        <f>$B12*Inputs!$B$15*Curves!$C$20</f>
        <v>6250</v>
      </c>
      <c r="Z12" s="12">
        <f>$B12*Inputs!$B$15*Curves!$C$21</f>
        <v>6250</v>
      </c>
      <c r="AA12" s="12">
        <f>$B12*Inputs!$B$15*Curves!$C$22</f>
        <v>6250</v>
      </c>
      <c r="AB12" s="12">
        <f>$B12*Inputs!$B$15*Curves!$C$23</f>
        <v>6250</v>
      </c>
      <c r="AC12" s="12">
        <f>$B12*Inputs!$B$15*Curves!$C$24</f>
        <v>6250</v>
      </c>
      <c r="AD12" s="12">
        <f>$B12*Inputs!$B$15*Curves!$C$25</f>
        <v>6250</v>
      </c>
      <c r="AE12" s="12">
        <f>$B12*Inputs!$B$15*Curves!$C$26</f>
        <v>6250</v>
      </c>
      <c r="AF12" s="12">
        <f>$B12*Inputs!$B$15*Curves!$C$27</f>
        <v>6250</v>
      </c>
      <c r="AG12" s="12">
        <f>$B12*Inputs!$B$15*Curves!$C$28</f>
        <v>6250</v>
      </c>
      <c r="AH12" s="12">
        <f>$B12*Inputs!$B$15*Curves!$C$29</f>
        <v>6250</v>
      </c>
      <c r="AI12" s="12">
        <f>$B12*Inputs!$B$15*Curves!$C$30</f>
        <v>6250</v>
      </c>
      <c r="AJ12" s="12">
        <f>$B12*Inputs!$B$15*Curves!$C$31</f>
        <v>6250</v>
      </c>
      <c r="AK12" s="12">
        <f>$B12*Inputs!$B$15*Curves!$C$32</f>
        <v>6250</v>
      </c>
      <c r="AL12" s="12">
        <f>$B12*Inputs!$B$15*Curves!$C$33</f>
        <v>6250</v>
      </c>
    </row>
    <row r="13">
      <c r="A13" s="3" t="str">
        <f>Acquisition_Plan!A12</f>
        <v>2026-09-29</v>
      </c>
      <c r="B13" s="12">
        <f>Acquisition_Plan!D12+Acquisition_Plan!F12+Acquisition_Plan!E12</f>
        <v>600000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f>$B13*Inputs!$B$15*Curves!$C$5</f>
        <v>473902.5011</v>
      </c>
      <c r="L13" s="12">
        <f>$B13*Inputs!$B$15*Curves!$C$6</f>
        <v>225972.9464</v>
      </c>
      <c r="M13" s="12">
        <f>$B13*Inputs!$B$15*Curves!$C$7</f>
        <v>144850.9932</v>
      </c>
      <c r="N13" s="12">
        <f>$B13*Inputs!$B$15*Curves!$C$8</f>
        <v>101911.3591</v>
      </c>
      <c r="O13" s="12">
        <f>$B13*Inputs!$B$15*Curves!$C$9</f>
        <v>60589.34161</v>
      </c>
      <c r="P13" s="12">
        <f>$B13*Inputs!$B$15*Curves!$C$10</f>
        <v>54313.84024</v>
      </c>
      <c r="Q13" s="12">
        <f>$B13*Inputs!$B$15*Curves!$C$11</f>
        <v>46907.8497</v>
      </c>
      <c r="R13" s="12">
        <f>$B13*Inputs!$B$15*Curves!$C$12</f>
        <v>41445.70464</v>
      </c>
      <c r="S13" s="12">
        <f>$B13*Inputs!$B$15*Curves!$C$13</f>
        <v>37050.79751</v>
      </c>
      <c r="T13" s="12">
        <f>$B13*Inputs!$B$15*Curves!$C$14</f>
        <v>43054.66647</v>
      </c>
      <c r="U13" s="12">
        <f>$B13*Inputs!$B$15*Curves!$C$15</f>
        <v>30000</v>
      </c>
      <c r="V13" s="12">
        <f>$B13*Inputs!$B$15*Curves!$C$16</f>
        <v>30000</v>
      </c>
      <c r="W13" s="12">
        <f>$B13*Inputs!$B$15*Curves!$C$17</f>
        <v>30000</v>
      </c>
      <c r="X13" s="12">
        <f>$B13*Inputs!$B$15*Curves!$C$18</f>
        <v>7500</v>
      </c>
      <c r="Y13" s="12">
        <f>$B13*Inputs!$B$15*Curves!$C$19</f>
        <v>7500</v>
      </c>
      <c r="Z13" s="12">
        <f>$B13*Inputs!$B$15*Curves!$C$20</f>
        <v>7500</v>
      </c>
      <c r="AA13" s="12">
        <f>$B13*Inputs!$B$15*Curves!$C$21</f>
        <v>7500</v>
      </c>
      <c r="AB13" s="12">
        <f>$B13*Inputs!$B$15*Curves!$C$22</f>
        <v>7500</v>
      </c>
      <c r="AC13" s="12">
        <f>$B13*Inputs!$B$15*Curves!$C$23</f>
        <v>7500</v>
      </c>
      <c r="AD13" s="12">
        <f>$B13*Inputs!$B$15*Curves!$C$24</f>
        <v>7500</v>
      </c>
      <c r="AE13" s="12">
        <f>$B13*Inputs!$B$15*Curves!$C$25</f>
        <v>7500</v>
      </c>
      <c r="AF13" s="12">
        <f>$B13*Inputs!$B$15*Curves!$C$26</f>
        <v>7500</v>
      </c>
      <c r="AG13" s="12">
        <f>$B13*Inputs!$B$15*Curves!$C$27</f>
        <v>7500</v>
      </c>
      <c r="AH13" s="12">
        <f>$B13*Inputs!$B$15*Curves!$C$28</f>
        <v>7500</v>
      </c>
      <c r="AI13" s="12">
        <f>$B13*Inputs!$B$15*Curves!$C$29</f>
        <v>7500</v>
      </c>
      <c r="AJ13" s="12">
        <f>$B13*Inputs!$B$15*Curves!$C$30</f>
        <v>7500</v>
      </c>
      <c r="AK13" s="12">
        <f>$B13*Inputs!$B$15*Curves!$C$31</f>
        <v>7500</v>
      </c>
      <c r="AL13" s="12">
        <f>$B13*Inputs!$B$15*Curves!$C$32</f>
        <v>7500</v>
      </c>
    </row>
    <row r="14">
      <c r="A14" s="3" t="str">
        <f>Acquisition_Plan!A13</f>
        <v>2026-10-29</v>
      </c>
      <c r="B14" s="12">
        <f>Acquisition_Plan!D13+Acquisition_Plan!F13+Acquisition_Plan!E13</f>
        <v>600000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f>$B14*Inputs!$B$15*Curves!$C$5</f>
        <v>473902.5011</v>
      </c>
      <c r="M14" s="12">
        <f>$B14*Inputs!$B$15*Curves!$C$6</f>
        <v>225972.9464</v>
      </c>
      <c r="N14" s="12">
        <f>$B14*Inputs!$B$15*Curves!$C$7</f>
        <v>144850.9932</v>
      </c>
      <c r="O14" s="12">
        <f>$B14*Inputs!$B$15*Curves!$C$8</f>
        <v>101911.3591</v>
      </c>
      <c r="P14" s="12">
        <f>$B14*Inputs!$B$15*Curves!$C$9</f>
        <v>60589.34161</v>
      </c>
      <c r="Q14" s="12">
        <f>$B14*Inputs!$B$15*Curves!$C$10</f>
        <v>54313.84024</v>
      </c>
      <c r="R14" s="12">
        <f>$B14*Inputs!$B$15*Curves!$C$11</f>
        <v>46907.8497</v>
      </c>
      <c r="S14" s="12">
        <f>$B14*Inputs!$B$15*Curves!$C$12</f>
        <v>41445.70464</v>
      </c>
      <c r="T14" s="12">
        <f>$B14*Inputs!$B$15*Curves!$C$13</f>
        <v>37050.79751</v>
      </c>
      <c r="U14" s="12">
        <f>$B14*Inputs!$B$15*Curves!$C$14</f>
        <v>43054.66647</v>
      </c>
      <c r="V14" s="12">
        <f>$B14*Inputs!$B$15*Curves!$C$15</f>
        <v>30000</v>
      </c>
      <c r="W14" s="12">
        <f>$B14*Inputs!$B$15*Curves!$C$16</f>
        <v>30000</v>
      </c>
      <c r="X14" s="12">
        <f>$B14*Inputs!$B$15*Curves!$C$17</f>
        <v>30000</v>
      </c>
      <c r="Y14" s="12">
        <f>$B14*Inputs!$B$15*Curves!$C$18</f>
        <v>7500</v>
      </c>
      <c r="Z14" s="12">
        <f>$B14*Inputs!$B$15*Curves!$C$19</f>
        <v>7500</v>
      </c>
      <c r="AA14" s="12">
        <f>$B14*Inputs!$B$15*Curves!$C$20</f>
        <v>7500</v>
      </c>
      <c r="AB14" s="12">
        <f>$B14*Inputs!$B$15*Curves!$C$21</f>
        <v>7500</v>
      </c>
      <c r="AC14" s="12">
        <f>$B14*Inputs!$B$15*Curves!$C$22</f>
        <v>7500</v>
      </c>
      <c r="AD14" s="12">
        <f>$B14*Inputs!$B$15*Curves!$C$23</f>
        <v>7500</v>
      </c>
      <c r="AE14" s="12">
        <f>$B14*Inputs!$B$15*Curves!$C$24</f>
        <v>7500</v>
      </c>
      <c r="AF14" s="12">
        <f>$B14*Inputs!$B$15*Curves!$C$25</f>
        <v>7500</v>
      </c>
      <c r="AG14" s="12">
        <f>$B14*Inputs!$B$15*Curves!$C$26</f>
        <v>7500</v>
      </c>
      <c r="AH14" s="12">
        <f>$B14*Inputs!$B$15*Curves!$C$27</f>
        <v>7500</v>
      </c>
      <c r="AI14" s="12">
        <f>$B14*Inputs!$B$15*Curves!$C$28</f>
        <v>7500</v>
      </c>
      <c r="AJ14" s="12">
        <f>$B14*Inputs!$B$15*Curves!$C$29</f>
        <v>7500</v>
      </c>
      <c r="AK14" s="12">
        <f>$B14*Inputs!$B$15*Curves!$C$30</f>
        <v>7500</v>
      </c>
      <c r="AL14" s="12">
        <f>$B14*Inputs!$B$15*Curves!$C$31</f>
        <v>7500</v>
      </c>
    </row>
    <row r="15">
      <c r="A15" s="3" t="str">
        <f>Acquisition_Plan!A14</f>
        <v>2026-11-28</v>
      </c>
      <c r="B15" s="12">
        <f>Acquisition_Plan!D14+Acquisition_Plan!F14+Acquisition_Plan!E14</f>
        <v>700000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f>$B15*Inputs!$B$15*Curves!$C$5</f>
        <v>552886.2512</v>
      </c>
      <c r="N15" s="12">
        <f>$B15*Inputs!$B$15*Curves!$C$6</f>
        <v>263635.1041</v>
      </c>
      <c r="O15" s="12">
        <f>$B15*Inputs!$B$15*Curves!$C$7</f>
        <v>168992.8254</v>
      </c>
      <c r="P15" s="12">
        <f>$B15*Inputs!$B$15*Curves!$C$8</f>
        <v>118896.5857</v>
      </c>
      <c r="Q15" s="12">
        <f>$B15*Inputs!$B$15*Curves!$C$9</f>
        <v>70687.56521</v>
      </c>
      <c r="R15" s="12">
        <f>$B15*Inputs!$B$15*Curves!$C$10</f>
        <v>63366.14695</v>
      </c>
      <c r="S15" s="12">
        <f>$B15*Inputs!$B$15*Curves!$C$11</f>
        <v>54725.82465</v>
      </c>
      <c r="T15" s="12">
        <f>$B15*Inputs!$B$15*Curves!$C$12</f>
        <v>48353.32208</v>
      </c>
      <c r="U15" s="12">
        <f>$B15*Inputs!$B$15*Curves!$C$13</f>
        <v>43225.93043</v>
      </c>
      <c r="V15" s="12">
        <f>$B15*Inputs!$B$15*Curves!$C$14</f>
        <v>50230.44422</v>
      </c>
      <c r="W15" s="12">
        <f>$B15*Inputs!$B$15*Curves!$C$15</f>
        <v>35000</v>
      </c>
      <c r="X15" s="12">
        <f>$B15*Inputs!$B$15*Curves!$C$16</f>
        <v>35000</v>
      </c>
      <c r="Y15" s="12">
        <f>$B15*Inputs!$B$15*Curves!$C$17</f>
        <v>35000</v>
      </c>
      <c r="Z15" s="12">
        <f>$B15*Inputs!$B$15*Curves!$C$18</f>
        <v>8750</v>
      </c>
      <c r="AA15" s="12">
        <f>$B15*Inputs!$B$15*Curves!$C$19</f>
        <v>8750</v>
      </c>
      <c r="AB15" s="12">
        <f>$B15*Inputs!$B$15*Curves!$C$20</f>
        <v>8750</v>
      </c>
      <c r="AC15" s="12">
        <f>$B15*Inputs!$B$15*Curves!$C$21</f>
        <v>8750</v>
      </c>
      <c r="AD15" s="12">
        <f>$B15*Inputs!$B$15*Curves!$C$22</f>
        <v>8750</v>
      </c>
      <c r="AE15" s="12">
        <f>$B15*Inputs!$B$15*Curves!$C$23</f>
        <v>8750</v>
      </c>
      <c r="AF15" s="12">
        <f>$B15*Inputs!$B$15*Curves!$C$24</f>
        <v>8750</v>
      </c>
      <c r="AG15" s="12">
        <f>$B15*Inputs!$B$15*Curves!$C$25</f>
        <v>8750</v>
      </c>
      <c r="AH15" s="12">
        <f>$B15*Inputs!$B$15*Curves!$C$26</f>
        <v>8750</v>
      </c>
      <c r="AI15" s="12">
        <f>$B15*Inputs!$B$15*Curves!$C$27</f>
        <v>8750</v>
      </c>
      <c r="AJ15" s="12">
        <f>$B15*Inputs!$B$15*Curves!$C$28</f>
        <v>8750</v>
      </c>
      <c r="AK15" s="12">
        <f>$B15*Inputs!$B$15*Curves!$C$29</f>
        <v>8750</v>
      </c>
      <c r="AL15" s="12">
        <f>$B15*Inputs!$B$15*Curves!$C$30</f>
        <v>8750</v>
      </c>
    </row>
    <row r="16">
      <c r="A16" s="3" t="str">
        <f>Acquisition_Plan!A15</f>
        <v>2026-12-28</v>
      </c>
      <c r="B16" s="12">
        <f>Acquisition_Plan!D15+Acquisition_Plan!F15+Acquisition_Plan!E15</f>
        <v>700000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f>$B16*Inputs!$B$15*Curves!$C$5</f>
        <v>552886.2512</v>
      </c>
      <c r="O16" s="12">
        <f>$B16*Inputs!$B$15*Curves!$C$6</f>
        <v>263635.1041</v>
      </c>
      <c r="P16" s="12">
        <f>$B16*Inputs!$B$15*Curves!$C$7</f>
        <v>168992.8254</v>
      </c>
      <c r="Q16" s="12">
        <f>$B16*Inputs!$B$15*Curves!$C$8</f>
        <v>118896.5857</v>
      </c>
      <c r="R16" s="12">
        <f>$B16*Inputs!$B$15*Curves!$C$9</f>
        <v>70687.56521</v>
      </c>
      <c r="S16" s="12">
        <f>$B16*Inputs!$B$15*Curves!$C$10</f>
        <v>63366.14695</v>
      </c>
      <c r="T16" s="12">
        <f>$B16*Inputs!$B$15*Curves!$C$11</f>
        <v>54725.82465</v>
      </c>
      <c r="U16" s="12">
        <f>$B16*Inputs!$B$15*Curves!$C$12</f>
        <v>48353.32208</v>
      </c>
      <c r="V16" s="12">
        <f>$B16*Inputs!$B$15*Curves!$C$13</f>
        <v>43225.93043</v>
      </c>
      <c r="W16" s="12">
        <f>$B16*Inputs!$B$15*Curves!$C$14</f>
        <v>50230.44422</v>
      </c>
      <c r="X16" s="12">
        <f>$B16*Inputs!$B$15*Curves!$C$15</f>
        <v>35000</v>
      </c>
      <c r="Y16" s="12">
        <f>$B16*Inputs!$B$15*Curves!$C$16</f>
        <v>35000</v>
      </c>
      <c r="Z16" s="12">
        <f>$B16*Inputs!$B$15*Curves!$C$17</f>
        <v>35000</v>
      </c>
      <c r="AA16" s="12">
        <f>$B16*Inputs!$B$15*Curves!$C$18</f>
        <v>8750</v>
      </c>
      <c r="AB16" s="12">
        <f>$B16*Inputs!$B$15*Curves!$C$19</f>
        <v>8750</v>
      </c>
      <c r="AC16" s="12">
        <f>$B16*Inputs!$B$15*Curves!$C$20</f>
        <v>8750</v>
      </c>
      <c r="AD16" s="12">
        <f>$B16*Inputs!$B$15*Curves!$C$21</f>
        <v>8750</v>
      </c>
      <c r="AE16" s="12">
        <f>$B16*Inputs!$B$15*Curves!$C$22</f>
        <v>8750</v>
      </c>
      <c r="AF16" s="12">
        <f>$B16*Inputs!$B$15*Curves!$C$23</f>
        <v>8750</v>
      </c>
      <c r="AG16" s="12">
        <f>$B16*Inputs!$B$15*Curves!$C$24</f>
        <v>8750</v>
      </c>
      <c r="AH16" s="12">
        <f>$B16*Inputs!$B$15*Curves!$C$25</f>
        <v>8750</v>
      </c>
      <c r="AI16" s="12">
        <f>$B16*Inputs!$B$15*Curves!$C$26</f>
        <v>8750</v>
      </c>
      <c r="AJ16" s="12">
        <f>$B16*Inputs!$B$15*Curves!$C$27</f>
        <v>8750</v>
      </c>
      <c r="AK16" s="12">
        <f>$B16*Inputs!$B$15*Curves!$C$28</f>
        <v>8750</v>
      </c>
      <c r="AL16" s="12">
        <f>$B16*Inputs!$B$15*Curves!$C$29</f>
        <v>8750</v>
      </c>
    </row>
    <row r="17">
      <c r="A17" s="3" t="str">
        <f>Acquisition_Plan!A16</f>
        <v>2027-01-27</v>
      </c>
      <c r="B17" s="12">
        <f>Acquisition_Plan!D16+Acquisition_Plan!F16+Acquisition_Plan!E16</f>
        <v>800000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f>$B17*Inputs!$B$15*Curves!$C$5</f>
        <v>631870.0014</v>
      </c>
      <c r="P17" s="12">
        <f>$B17*Inputs!$B$15*Curves!$C$6</f>
        <v>301297.2619</v>
      </c>
      <c r="Q17" s="12">
        <f>$B17*Inputs!$B$15*Curves!$C$7</f>
        <v>193134.6576</v>
      </c>
      <c r="R17" s="12">
        <f>$B17*Inputs!$B$15*Curves!$C$8</f>
        <v>135881.8122</v>
      </c>
      <c r="S17" s="12">
        <f>$B17*Inputs!$B$15*Curves!$C$9</f>
        <v>80785.78882</v>
      </c>
      <c r="T17" s="12">
        <f>$B17*Inputs!$B$15*Curves!$C$10</f>
        <v>72418.45365</v>
      </c>
      <c r="U17" s="12">
        <f>$B17*Inputs!$B$15*Curves!$C$11</f>
        <v>62543.7996</v>
      </c>
      <c r="V17" s="12">
        <f>$B17*Inputs!$B$15*Curves!$C$12</f>
        <v>55260.93953</v>
      </c>
      <c r="W17" s="12">
        <f>$B17*Inputs!$B$15*Curves!$C$13</f>
        <v>49401.06335</v>
      </c>
      <c r="X17" s="12">
        <f>$B17*Inputs!$B$15*Curves!$C$14</f>
        <v>57406.22196</v>
      </c>
      <c r="Y17" s="12">
        <f>$B17*Inputs!$B$15*Curves!$C$15</f>
        <v>40000</v>
      </c>
      <c r="Z17" s="12">
        <f>$B17*Inputs!$B$15*Curves!$C$16</f>
        <v>40000</v>
      </c>
      <c r="AA17" s="12">
        <f>$B17*Inputs!$B$15*Curves!$C$17</f>
        <v>40000</v>
      </c>
      <c r="AB17" s="12">
        <f>$B17*Inputs!$B$15*Curves!$C$18</f>
        <v>10000</v>
      </c>
      <c r="AC17" s="12">
        <f>$B17*Inputs!$B$15*Curves!$C$19</f>
        <v>10000</v>
      </c>
      <c r="AD17" s="12">
        <f>$B17*Inputs!$B$15*Curves!$C$20</f>
        <v>10000</v>
      </c>
      <c r="AE17" s="12">
        <f>$B17*Inputs!$B$15*Curves!$C$21</f>
        <v>10000</v>
      </c>
      <c r="AF17" s="12">
        <f>$B17*Inputs!$B$15*Curves!$C$22</f>
        <v>10000</v>
      </c>
      <c r="AG17" s="12">
        <f>$B17*Inputs!$B$15*Curves!$C$23</f>
        <v>10000</v>
      </c>
      <c r="AH17" s="12">
        <f>$B17*Inputs!$B$15*Curves!$C$24</f>
        <v>10000</v>
      </c>
      <c r="AI17" s="12">
        <f>$B17*Inputs!$B$15*Curves!$C$25</f>
        <v>10000</v>
      </c>
      <c r="AJ17" s="12">
        <f>$B17*Inputs!$B$15*Curves!$C$26</f>
        <v>10000</v>
      </c>
      <c r="AK17" s="12">
        <f>$B17*Inputs!$B$15*Curves!$C$27</f>
        <v>10000</v>
      </c>
      <c r="AL17" s="12">
        <f>$B17*Inputs!$B$15*Curves!$C$28</f>
        <v>10000</v>
      </c>
    </row>
    <row r="18">
      <c r="A18" s="3" t="str">
        <f>Acquisition_Plan!A17</f>
        <v>2027-02-26</v>
      </c>
      <c r="B18" s="12">
        <f>Acquisition_Plan!D17+Acquisition_Plan!F17+Acquisition_Plan!E17</f>
        <v>800000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f>$B18*Inputs!$B$15*Curves!$C$5</f>
        <v>631870.0014</v>
      </c>
      <c r="Q18" s="12">
        <f>$B18*Inputs!$B$15*Curves!$C$6</f>
        <v>301297.2619</v>
      </c>
      <c r="R18" s="12">
        <f>$B18*Inputs!$B$15*Curves!$C$7</f>
        <v>193134.6576</v>
      </c>
      <c r="S18" s="12">
        <f>$B18*Inputs!$B$15*Curves!$C$8</f>
        <v>135881.8122</v>
      </c>
      <c r="T18" s="12">
        <f>$B18*Inputs!$B$15*Curves!$C$9</f>
        <v>80785.78882</v>
      </c>
      <c r="U18" s="12">
        <f>$B18*Inputs!$B$15*Curves!$C$10</f>
        <v>72418.45365</v>
      </c>
      <c r="V18" s="12">
        <f>$B18*Inputs!$B$15*Curves!$C$11</f>
        <v>62543.7996</v>
      </c>
      <c r="W18" s="12">
        <f>$B18*Inputs!$B$15*Curves!$C$12</f>
        <v>55260.93953</v>
      </c>
      <c r="X18" s="12">
        <f>$B18*Inputs!$B$15*Curves!$C$13</f>
        <v>49401.06335</v>
      </c>
      <c r="Y18" s="12">
        <f>$B18*Inputs!$B$15*Curves!$C$14</f>
        <v>57406.22196</v>
      </c>
      <c r="Z18" s="12">
        <f>$B18*Inputs!$B$15*Curves!$C$15</f>
        <v>40000</v>
      </c>
      <c r="AA18" s="12">
        <f>$B18*Inputs!$B$15*Curves!$C$16</f>
        <v>40000</v>
      </c>
      <c r="AB18" s="12">
        <f>$B18*Inputs!$B$15*Curves!$C$17</f>
        <v>40000</v>
      </c>
      <c r="AC18" s="12">
        <f>$B18*Inputs!$B$15*Curves!$C$18</f>
        <v>10000</v>
      </c>
      <c r="AD18" s="12">
        <f>$B18*Inputs!$B$15*Curves!$C$19</f>
        <v>10000</v>
      </c>
      <c r="AE18" s="12">
        <f>$B18*Inputs!$B$15*Curves!$C$20</f>
        <v>10000</v>
      </c>
      <c r="AF18" s="12">
        <f>$B18*Inputs!$B$15*Curves!$C$21</f>
        <v>10000</v>
      </c>
      <c r="AG18" s="12">
        <f>$B18*Inputs!$B$15*Curves!$C$22</f>
        <v>10000</v>
      </c>
      <c r="AH18" s="12">
        <f>$B18*Inputs!$B$15*Curves!$C$23</f>
        <v>10000</v>
      </c>
      <c r="AI18" s="12">
        <f>$B18*Inputs!$B$15*Curves!$C$24</f>
        <v>10000</v>
      </c>
      <c r="AJ18" s="12">
        <f>$B18*Inputs!$B$15*Curves!$C$25</f>
        <v>10000</v>
      </c>
      <c r="AK18" s="12">
        <f>$B18*Inputs!$B$15*Curves!$C$26</f>
        <v>10000</v>
      </c>
      <c r="AL18" s="12">
        <f>$B18*Inputs!$B$15*Curves!$C$27</f>
        <v>10000</v>
      </c>
    </row>
    <row r="19">
      <c r="A19" s="3" t="str">
        <f>Acquisition_Plan!A18</f>
        <v>2027-03-28</v>
      </c>
      <c r="B19" s="12">
        <f>Acquisition_Plan!D18+Acquisition_Plan!F18+Acquisition_Plan!E18</f>
        <v>800000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f>$B19*Inputs!$B$15*Curves!$C$5</f>
        <v>631870.0014</v>
      </c>
      <c r="R19" s="12">
        <f>$B19*Inputs!$B$15*Curves!$C$6</f>
        <v>301297.2619</v>
      </c>
      <c r="S19" s="12">
        <f>$B19*Inputs!$B$15*Curves!$C$7</f>
        <v>193134.6576</v>
      </c>
      <c r="T19" s="12">
        <f>$B19*Inputs!$B$15*Curves!$C$8</f>
        <v>135881.8122</v>
      </c>
      <c r="U19" s="12">
        <f>$B19*Inputs!$B$15*Curves!$C$9</f>
        <v>80785.78882</v>
      </c>
      <c r="V19" s="12">
        <f>$B19*Inputs!$B$15*Curves!$C$10</f>
        <v>72418.45365</v>
      </c>
      <c r="W19" s="12">
        <f>$B19*Inputs!$B$15*Curves!$C$11</f>
        <v>62543.7996</v>
      </c>
      <c r="X19" s="12">
        <f>$B19*Inputs!$B$15*Curves!$C$12</f>
        <v>55260.93953</v>
      </c>
      <c r="Y19" s="12">
        <f>$B19*Inputs!$B$15*Curves!$C$13</f>
        <v>49401.06335</v>
      </c>
      <c r="Z19" s="12">
        <f>$B19*Inputs!$B$15*Curves!$C$14</f>
        <v>57406.22196</v>
      </c>
      <c r="AA19" s="12">
        <f>$B19*Inputs!$B$15*Curves!$C$15</f>
        <v>40000</v>
      </c>
      <c r="AB19" s="12">
        <f>$B19*Inputs!$B$15*Curves!$C$16</f>
        <v>40000</v>
      </c>
      <c r="AC19" s="12">
        <f>$B19*Inputs!$B$15*Curves!$C$17</f>
        <v>40000</v>
      </c>
      <c r="AD19" s="12">
        <f>$B19*Inputs!$B$15*Curves!$C$18</f>
        <v>10000</v>
      </c>
      <c r="AE19" s="12">
        <f>$B19*Inputs!$B$15*Curves!$C$19</f>
        <v>10000</v>
      </c>
      <c r="AF19" s="12">
        <f>$B19*Inputs!$B$15*Curves!$C$20</f>
        <v>10000</v>
      </c>
      <c r="AG19" s="12">
        <f>$B19*Inputs!$B$15*Curves!$C$21</f>
        <v>10000</v>
      </c>
      <c r="AH19" s="12">
        <f>$B19*Inputs!$B$15*Curves!$C$22</f>
        <v>10000</v>
      </c>
      <c r="AI19" s="12">
        <f>$B19*Inputs!$B$15*Curves!$C$23</f>
        <v>10000</v>
      </c>
      <c r="AJ19" s="12">
        <f>$B19*Inputs!$B$15*Curves!$C$24</f>
        <v>10000</v>
      </c>
      <c r="AK19" s="12">
        <f>$B19*Inputs!$B$15*Curves!$C$25</f>
        <v>10000</v>
      </c>
      <c r="AL19" s="12">
        <f>$B19*Inputs!$B$15*Curves!$C$26</f>
        <v>10000</v>
      </c>
    </row>
    <row r="20">
      <c r="A20" s="3" t="str">
        <f>Acquisition_Plan!A19</f>
        <v>2027-04-27</v>
      </c>
      <c r="B20" s="12">
        <f>Acquisition_Plan!D19+Acquisition_Plan!F19+Acquisition_Plan!E19</f>
        <v>800000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f>$B20*Inputs!$B$15*Curves!$C$5</f>
        <v>631870.0014</v>
      </c>
      <c r="S20" s="12">
        <f>$B20*Inputs!$B$15*Curves!$C$6</f>
        <v>301297.2619</v>
      </c>
      <c r="T20" s="12">
        <f>$B20*Inputs!$B$15*Curves!$C$7</f>
        <v>193134.6576</v>
      </c>
      <c r="U20" s="12">
        <f>$B20*Inputs!$B$15*Curves!$C$8</f>
        <v>135881.8122</v>
      </c>
      <c r="V20" s="12">
        <f>$B20*Inputs!$B$15*Curves!$C$9</f>
        <v>80785.78882</v>
      </c>
      <c r="W20" s="12">
        <f>$B20*Inputs!$B$15*Curves!$C$10</f>
        <v>72418.45365</v>
      </c>
      <c r="X20" s="12">
        <f>$B20*Inputs!$B$15*Curves!$C$11</f>
        <v>62543.7996</v>
      </c>
      <c r="Y20" s="12">
        <f>$B20*Inputs!$B$15*Curves!$C$12</f>
        <v>55260.93953</v>
      </c>
      <c r="Z20" s="12">
        <f>$B20*Inputs!$B$15*Curves!$C$13</f>
        <v>49401.06335</v>
      </c>
      <c r="AA20" s="12">
        <f>$B20*Inputs!$B$15*Curves!$C$14</f>
        <v>57406.22196</v>
      </c>
      <c r="AB20" s="12">
        <f>$B20*Inputs!$B$15*Curves!$C$15</f>
        <v>40000</v>
      </c>
      <c r="AC20" s="12">
        <f>$B20*Inputs!$B$15*Curves!$C$16</f>
        <v>40000</v>
      </c>
      <c r="AD20" s="12">
        <f>$B20*Inputs!$B$15*Curves!$C$17</f>
        <v>40000</v>
      </c>
      <c r="AE20" s="12">
        <f>$B20*Inputs!$B$15*Curves!$C$18</f>
        <v>10000</v>
      </c>
      <c r="AF20" s="12">
        <f>$B20*Inputs!$B$15*Curves!$C$19</f>
        <v>10000</v>
      </c>
      <c r="AG20" s="12">
        <f>$B20*Inputs!$B$15*Curves!$C$20</f>
        <v>10000</v>
      </c>
      <c r="AH20" s="12">
        <f>$B20*Inputs!$B$15*Curves!$C$21</f>
        <v>10000</v>
      </c>
      <c r="AI20" s="12">
        <f>$B20*Inputs!$B$15*Curves!$C$22</f>
        <v>10000</v>
      </c>
      <c r="AJ20" s="12">
        <f>$B20*Inputs!$B$15*Curves!$C$23</f>
        <v>10000</v>
      </c>
      <c r="AK20" s="12">
        <f>$B20*Inputs!$B$15*Curves!$C$24</f>
        <v>10000</v>
      </c>
      <c r="AL20" s="12">
        <f>$B20*Inputs!$B$15*Curves!$C$25</f>
        <v>10000</v>
      </c>
    </row>
    <row r="21" ht="15.75" customHeight="1">
      <c r="A21" s="3" t="str">
        <f>Acquisition_Plan!A20</f>
        <v>2027-05-27</v>
      </c>
      <c r="B21" s="12">
        <f>Acquisition_Plan!D20+Acquisition_Plan!F20+Acquisition_Plan!E20</f>
        <v>800000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f>$B21*Inputs!$B$15*Curves!$C$5</f>
        <v>631870.0014</v>
      </c>
      <c r="T21" s="12">
        <f>$B21*Inputs!$B$15*Curves!$C$6</f>
        <v>301297.2619</v>
      </c>
      <c r="U21" s="12">
        <f>$B21*Inputs!$B$15*Curves!$C$7</f>
        <v>193134.6576</v>
      </c>
      <c r="V21" s="12">
        <f>$B21*Inputs!$B$15*Curves!$C$8</f>
        <v>135881.8122</v>
      </c>
      <c r="W21" s="12">
        <f>$B21*Inputs!$B$15*Curves!$C$9</f>
        <v>80785.78882</v>
      </c>
      <c r="X21" s="12">
        <f>$B21*Inputs!$B$15*Curves!$C$10</f>
        <v>72418.45365</v>
      </c>
      <c r="Y21" s="12">
        <f>$B21*Inputs!$B$15*Curves!$C$11</f>
        <v>62543.7996</v>
      </c>
      <c r="Z21" s="12">
        <f>$B21*Inputs!$B$15*Curves!$C$12</f>
        <v>55260.93953</v>
      </c>
      <c r="AA21" s="12">
        <f>$B21*Inputs!$B$15*Curves!$C$13</f>
        <v>49401.06335</v>
      </c>
      <c r="AB21" s="12">
        <f>$B21*Inputs!$B$15*Curves!$C$14</f>
        <v>57406.22196</v>
      </c>
      <c r="AC21" s="12">
        <f>$B21*Inputs!$B$15*Curves!$C$15</f>
        <v>40000</v>
      </c>
      <c r="AD21" s="12">
        <f>$B21*Inputs!$B$15*Curves!$C$16</f>
        <v>40000</v>
      </c>
      <c r="AE21" s="12">
        <f>$B21*Inputs!$B$15*Curves!$C$17</f>
        <v>40000</v>
      </c>
      <c r="AF21" s="12">
        <f>$B21*Inputs!$B$15*Curves!$C$18</f>
        <v>10000</v>
      </c>
      <c r="AG21" s="12">
        <f>$B21*Inputs!$B$15*Curves!$C$19</f>
        <v>10000</v>
      </c>
      <c r="AH21" s="12">
        <f>$B21*Inputs!$B$15*Curves!$C$20</f>
        <v>10000</v>
      </c>
      <c r="AI21" s="12">
        <f>$B21*Inputs!$B$15*Curves!$C$21</f>
        <v>10000</v>
      </c>
      <c r="AJ21" s="12">
        <f>$B21*Inputs!$B$15*Curves!$C$22</f>
        <v>10000</v>
      </c>
      <c r="AK21" s="12">
        <f>$B21*Inputs!$B$15*Curves!$C$23</f>
        <v>10000</v>
      </c>
      <c r="AL21" s="12">
        <f>$B21*Inputs!$B$15*Curves!$C$24</f>
        <v>10000</v>
      </c>
    </row>
    <row r="22" ht="15.75" customHeight="1">
      <c r="A22" s="3" t="str">
        <f>Acquisition_Plan!A21</f>
        <v>2027-06-26</v>
      </c>
      <c r="B22" s="12">
        <f>Acquisition_Plan!D21+Acquisition_Plan!F21+Acquisition_Plan!E21</f>
        <v>800000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f>$B22*Inputs!$B$15*Curves!$C$5</f>
        <v>631870.0014</v>
      </c>
      <c r="U22" s="12">
        <f>$B22*Inputs!$B$15*Curves!$C$6</f>
        <v>301297.2619</v>
      </c>
      <c r="V22" s="12">
        <f>$B22*Inputs!$B$15*Curves!$C$7</f>
        <v>193134.6576</v>
      </c>
      <c r="W22" s="12">
        <f>$B22*Inputs!$B$15*Curves!$C$8</f>
        <v>135881.8122</v>
      </c>
      <c r="X22" s="12">
        <f>$B22*Inputs!$B$15*Curves!$C$9</f>
        <v>80785.78882</v>
      </c>
      <c r="Y22" s="12">
        <f>$B22*Inputs!$B$15*Curves!$C$10</f>
        <v>72418.45365</v>
      </c>
      <c r="Z22" s="12">
        <f>$B22*Inputs!$B$15*Curves!$C$11</f>
        <v>62543.7996</v>
      </c>
      <c r="AA22" s="12">
        <f>$B22*Inputs!$B$15*Curves!$C$12</f>
        <v>55260.93953</v>
      </c>
      <c r="AB22" s="12">
        <f>$B22*Inputs!$B$15*Curves!$C$13</f>
        <v>49401.06335</v>
      </c>
      <c r="AC22" s="12">
        <f>$B22*Inputs!$B$15*Curves!$C$14</f>
        <v>57406.22196</v>
      </c>
      <c r="AD22" s="12">
        <f>$B22*Inputs!$B$15*Curves!$C$15</f>
        <v>40000</v>
      </c>
      <c r="AE22" s="12">
        <f>$B22*Inputs!$B$15*Curves!$C$16</f>
        <v>40000</v>
      </c>
      <c r="AF22" s="12">
        <f>$B22*Inputs!$B$15*Curves!$C$17</f>
        <v>40000</v>
      </c>
      <c r="AG22" s="12">
        <f>$B22*Inputs!$B$15*Curves!$C$18</f>
        <v>10000</v>
      </c>
      <c r="AH22" s="12">
        <f>$B22*Inputs!$B$15*Curves!$C$19</f>
        <v>10000</v>
      </c>
      <c r="AI22" s="12">
        <f>$B22*Inputs!$B$15*Curves!$C$20</f>
        <v>10000</v>
      </c>
      <c r="AJ22" s="12">
        <f>$B22*Inputs!$B$15*Curves!$C$21</f>
        <v>10000</v>
      </c>
      <c r="AK22" s="12">
        <f>$B22*Inputs!$B$15*Curves!$C$22</f>
        <v>10000</v>
      </c>
      <c r="AL22" s="12">
        <f>$B22*Inputs!$B$15*Curves!$C$23</f>
        <v>10000</v>
      </c>
    </row>
    <row r="23" ht="15.75" customHeight="1">
      <c r="A23" s="3" t="str">
        <f>Acquisition_Plan!A22</f>
        <v>2027-07-26</v>
      </c>
      <c r="B23" s="12">
        <f>Acquisition_Plan!D22+Acquisition_Plan!F22+Acquisition_Plan!E22</f>
        <v>800000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f>$B23*Inputs!$B$15*Curves!$C$5</f>
        <v>631870.0014</v>
      </c>
      <c r="V23" s="12">
        <f>$B23*Inputs!$B$15*Curves!$C$6</f>
        <v>301297.2619</v>
      </c>
      <c r="W23" s="12">
        <f>$B23*Inputs!$B$15*Curves!$C$7</f>
        <v>193134.6576</v>
      </c>
      <c r="X23" s="12">
        <f>$B23*Inputs!$B$15*Curves!$C$8</f>
        <v>135881.8122</v>
      </c>
      <c r="Y23" s="12">
        <f>$B23*Inputs!$B$15*Curves!$C$9</f>
        <v>80785.78882</v>
      </c>
      <c r="Z23" s="12">
        <f>$B23*Inputs!$B$15*Curves!$C$10</f>
        <v>72418.45365</v>
      </c>
      <c r="AA23" s="12">
        <f>$B23*Inputs!$B$15*Curves!$C$11</f>
        <v>62543.7996</v>
      </c>
      <c r="AB23" s="12">
        <f>$B23*Inputs!$B$15*Curves!$C$12</f>
        <v>55260.93953</v>
      </c>
      <c r="AC23" s="12">
        <f>$B23*Inputs!$B$15*Curves!$C$13</f>
        <v>49401.06335</v>
      </c>
      <c r="AD23" s="12">
        <f>$B23*Inputs!$B$15*Curves!$C$14</f>
        <v>57406.22196</v>
      </c>
      <c r="AE23" s="12">
        <f>$B23*Inputs!$B$15*Curves!$C$15</f>
        <v>40000</v>
      </c>
      <c r="AF23" s="12">
        <f>$B23*Inputs!$B$15*Curves!$C$16</f>
        <v>40000</v>
      </c>
      <c r="AG23" s="12">
        <f>$B23*Inputs!$B$15*Curves!$C$17</f>
        <v>40000</v>
      </c>
      <c r="AH23" s="12">
        <f>$B23*Inputs!$B$15*Curves!$C$18</f>
        <v>10000</v>
      </c>
      <c r="AI23" s="12">
        <f>$B23*Inputs!$B$15*Curves!$C$19</f>
        <v>10000</v>
      </c>
      <c r="AJ23" s="12">
        <f>$B23*Inputs!$B$15*Curves!$C$20</f>
        <v>10000</v>
      </c>
      <c r="AK23" s="12">
        <f>$B23*Inputs!$B$15*Curves!$C$21</f>
        <v>10000</v>
      </c>
      <c r="AL23" s="12">
        <f>$B23*Inputs!$B$15*Curves!$C$22</f>
        <v>10000</v>
      </c>
    </row>
    <row r="24" ht="15.75" customHeight="1">
      <c r="A24" s="3" t="str">
        <f>Acquisition_Plan!A23</f>
        <v>2027-08-25</v>
      </c>
      <c r="B24" s="12">
        <f>Acquisition_Plan!D23+Acquisition_Plan!F23+Acquisition_Plan!E23</f>
        <v>800000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f>$B24*Inputs!$B$15*Curves!$C$5</f>
        <v>631870.0014</v>
      </c>
      <c r="W24" s="12">
        <f>$B24*Inputs!$B$15*Curves!$C$6</f>
        <v>301297.2619</v>
      </c>
      <c r="X24" s="12">
        <f>$B24*Inputs!$B$15*Curves!$C$7</f>
        <v>193134.6576</v>
      </c>
      <c r="Y24" s="12">
        <f>$B24*Inputs!$B$15*Curves!$C$8</f>
        <v>135881.8122</v>
      </c>
      <c r="Z24" s="12">
        <f>$B24*Inputs!$B$15*Curves!$C$9</f>
        <v>80785.78882</v>
      </c>
      <c r="AA24" s="12">
        <f>$B24*Inputs!$B$15*Curves!$C$10</f>
        <v>72418.45365</v>
      </c>
      <c r="AB24" s="12">
        <f>$B24*Inputs!$B$15*Curves!$C$11</f>
        <v>62543.7996</v>
      </c>
      <c r="AC24" s="12">
        <f>$B24*Inputs!$B$15*Curves!$C$12</f>
        <v>55260.93953</v>
      </c>
      <c r="AD24" s="12">
        <f>$B24*Inputs!$B$15*Curves!$C$13</f>
        <v>49401.06335</v>
      </c>
      <c r="AE24" s="12">
        <f>$B24*Inputs!$B$15*Curves!$C$14</f>
        <v>57406.22196</v>
      </c>
      <c r="AF24" s="12">
        <f>$B24*Inputs!$B$15*Curves!$C$15</f>
        <v>40000</v>
      </c>
      <c r="AG24" s="12">
        <f>$B24*Inputs!$B$15*Curves!$C$16</f>
        <v>40000</v>
      </c>
      <c r="AH24" s="12">
        <f>$B24*Inputs!$B$15*Curves!$C$17</f>
        <v>40000</v>
      </c>
      <c r="AI24" s="12">
        <f>$B24*Inputs!$B$15*Curves!$C$18</f>
        <v>10000</v>
      </c>
      <c r="AJ24" s="12">
        <f>$B24*Inputs!$B$15*Curves!$C$19</f>
        <v>10000</v>
      </c>
      <c r="AK24" s="12">
        <f>$B24*Inputs!$B$15*Curves!$C$20</f>
        <v>10000</v>
      </c>
      <c r="AL24" s="12">
        <f>$B24*Inputs!$B$15*Curves!$C$21</f>
        <v>10000</v>
      </c>
    </row>
    <row r="25" ht="15.75" customHeight="1">
      <c r="A25" s="3" t="str">
        <f>Acquisition_Plan!A24</f>
        <v>2027-09-24</v>
      </c>
      <c r="B25" s="12">
        <f>Acquisition_Plan!D24+Acquisition_Plan!F24+Acquisition_Plan!E24</f>
        <v>800000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f>$B25*Inputs!$B$15*Curves!$C$5</f>
        <v>631870.0014</v>
      </c>
      <c r="X25" s="12">
        <f>$B25*Inputs!$B$15*Curves!$C$6</f>
        <v>301297.2619</v>
      </c>
      <c r="Y25" s="12">
        <f>$B25*Inputs!$B$15*Curves!$C$7</f>
        <v>193134.6576</v>
      </c>
      <c r="Z25" s="12">
        <f>$B25*Inputs!$B$15*Curves!$C$8</f>
        <v>135881.8122</v>
      </c>
      <c r="AA25" s="12">
        <f>$B25*Inputs!$B$15*Curves!$C$9</f>
        <v>80785.78882</v>
      </c>
      <c r="AB25" s="12">
        <f>$B25*Inputs!$B$15*Curves!$C$10</f>
        <v>72418.45365</v>
      </c>
      <c r="AC25" s="12">
        <f>$B25*Inputs!$B$15*Curves!$C$11</f>
        <v>62543.7996</v>
      </c>
      <c r="AD25" s="12">
        <f>$B25*Inputs!$B$15*Curves!$C$12</f>
        <v>55260.93953</v>
      </c>
      <c r="AE25" s="12">
        <f>$B25*Inputs!$B$15*Curves!$C$13</f>
        <v>49401.06335</v>
      </c>
      <c r="AF25" s="12">
        <f>$B25*Inputs!$B$15*Curves!$C$14</f>
        <v>57406.22196</v>
      </c>
      <c r="AG25" s="12">
        <f>$B25*Inputs!$B$15*Curves!$C$15</f>
        <v>40000</v>
      </c>
      <c r="AH25" s="12">
        <f>$B25*Inputs!$B$15*Curves!$C$16</f>
        <v>40000</v>
      </c>
      <c r="AI25" s="12">
        <f>$B25*Inputs!$B$15*Curves!$C$17</f>
        <v>40000</v>
      </c>
      <c r="AJ25" s="12">
        <f>$B25*Inputs!$B$15*Curves!$C$18</f>
        <v>10000</v>
      </c>
      <c r="AK25" s="12">
        <f>$B25*Inputs!$B$15*Curves!$C$19</f>
        <v>10000</v>
      </c>
      <c r="AL25" s="12">
        <f>$B25*Inputs!$B$15*Curves!$C$20</f>
        <v>10000</v>
      </c>
    </row>
    <row r="26" ht="15.75" customHeight="1">
      <c r="A26" s="3" t="str">
        <f>Acquisition_Plan!A25</f>
        <v>2027-10-24</v>
      </c>
      <c r="B26" s="12">
        <f>Acquisition_Plan!D25+Acquisition_Plan!F25+Acquisition_Plan!E25</f>
        <v>800000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f>$B26*Inputs!$B$15*Curves!$C$5</f>
        <v>631870.0014</v>
      </c>
      <c r="Y26" s="12">
        <f>$B26*Inputs!$B$15*Curves!$C$6</f>
        <v>301297.2619</v>
      </c>
      <c r="Z26" s="12">
        <f>$B26*Inputs!$B$15*Curves!$C$7</f>
        <v>193134.6576</v>
      </c>
      <c r="AA26" s="12">
        <f>$B26*Inputs!$B$15*Curves!$C$8</f>
        <v>135881.8122</v>
      </c>
      <c r="AB26" s="12">
        <f>$B26*Inputs!$B$15*Curves!$C$9</f>
        <v>80785.78882</v>
      </c>
      <c r="AC26" s="12">
        <f>$B26*Inputs!$B$15*Curves!$C$10</f>
        <v>72418.45365</v>
      </c>
      <c r="AD26" s="12">
        <f>$B26*Inputs!$B$15*Curves!$C$11</f>
        <v>62543.7996</v>
      </c>
      <c r="AE26" s="12">
        <f>$B26*Inputs!$B$15*Curves!$C$12</f>
        <v>55260.93953</v>
      </c>
      <c r="AF26" s="12">
        <f>$B26*Inputs!$B$15*Curves!$C$13</f>
        <v>49401.06335</v>
      </c>
      <c r="AG26" s="12">
        <f>$B26*Inputs!$B$15*Curves!$C$14</f>
        <v>57406.22196</v>
      </c>
      <c r="AH26" s="12">
        <f>$B26*Inputs!$B$15*Curves!$C$15</f>
        <v>40000</v>
      </c>
      <c r="AI26" s="12">
        <f>$B26*Inputs!$B$15*Curves!$C$16</f>
        <v>40000</v>
      </c>
      <c r="AJ26" s="12">
        <f>$B26*Inputs!$B$15*Curves!$C$17</f>
        <v>40000</v>
      </c>
      <c r="AK26" s="12">
        <f>$B26*Inputs!$B$15*Curves!$C$18</f>
        <v>10000</v>
      </c>
      <c r="AL26" s="12">
        <f>$B26*Inputs!$B$15*Curves!$C$19</f>
        <v>10000</v>
      </c>
    </row>
    <row r="27" ht="15.75" customHeight="1">
      <c r="A27" s="3" t="str">
        <f>Acquisition_Plan!A26</f>
        <v>2027-11-23</v>
      </c>
      <c r="B27" s="12">
        <f>Acquisition_Plan!D26+Acquisition_Plan!F26+Acquisition_Plan!E26</f>
        <v>800000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f>$B27*Inputs!$B$15*Curves!$C$5</f>
        <v>631870.0014</v>
      </c>
      <c r="Z27" s="12">
        <f>$B27*Inputs!$B$15*Curves!$C$6</f>
        <v>301297.2619</v>
      </c>
      <c r="AA27" s="12">
        <f>$B27*Inputs!$B$15*Curves!$C$7</f>
        <v>193134.6576</v>
      </c>
      <c r="AB27" s="12">
        <f>$B27*Inputs!$B$15*Curves!$C$8</f>
        <v>135881.8122</v>
      </c>
      <c r="AC27" s="12">
        <f>$B27*Inputs!$B$15*Curves!$C$9</f>
        <v>80785.78882</v>
      </c>
      <c r="AD27" s="12">
        <f>$B27*Inputs!$B$15*Curves!$C$10</f>
        <v>72418.45365</v>
      </c>
      <c r="AE27" s="12">
        <f>$B27*Inputs!$B$15*Curves!$C$11</f>
        <v>62543.7996</v>
      </c>
      <c r="AF27" s="12">
        <f>$B27*Inputs!$B$15*Curves!$C$12</f>
        <v>55260.93953</v>
      </c>
      <c r="AG27" s="12">
        <f>$B27*Inputs!$B$15*Curves!$C$13</f>
        <v>49401.06335</v>
      </c>
      <c r="AH27" s="12">
        <f>$B27*Inputs!$B$15*Curves!$C$14</f>
        <v>57406.22196</v>
      </c>
      <c r="AI27" s="12">
        <f>$B27*Inputs!$B$15*Curves!$C$15</f>
        <v>40000</v>
      </c>
      <c r="AJ27" s="12">
        <f>$B27*Inputs!$B$15*Curves!$C$16</f>
        <v>40000</v>
      </c>
      <c r="AK27" s="12">
        <f>$B27*Inputs!$B$15*Curves!$C$17</f>
        <v>40000</v>
      </c>
      <c r="AL27" s="12">
        <f>$B27*Inputs!$B$15*Curves!$C$18</f>
        <v>10000</v>
      </c>
    </row>
    <row r="28" ht="15.75" customHeight="1">
      <c r="A28" s="3" t="str">
        <f>Acquisition_Plan!A27</f>
        <v>2027-12-23</v>
      </c>
      <c r="B28" s="12">
        <f>Acquisition_Plan!D27+Acquisition_Plan!F27+Acquisition_Plan!E27</f>
        <v>800000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2">
        <f>$B28*Inputs!$B$15*Curves!$C$5</f>
        <v>631870.0014</v>
      </c>
      <c r="AA28" s="12">
        <f>$B28*Inputs!$B$15*Curves!$C$6</f>
        <v>301297.2619</v>
      </c>
      <c r="AB28" s="12">
        <f>$B28*Inputs!$B$15*Curves!$C$7</f>
        <v>193134.6576</v>
      </c>
      <c r="AC28" s="12">
        <f>$B28*Inputs!$B$15*Curves!$C$8</f>
        <v>135881.8122</v>
      </c>
      <c r="AD28" s="12">
        <f>$B28*Inputs!$B$15*Curves!$C$9</f>
        <v>80785.78882</v>
      </c>
      <c r="AE28" s="12">
        <f>$B28*Inputs!$B$15*Curves!$C$10</f>
        <v>72418.45365</v>
      </c>
      <c r="AF28" s="12">
        <f>$B28*Inputs!$B$15*Curves!$C$11</f>
        <v>62543.7996</v>
      </c>
      <c r="AG28" s="12">
        <f>$B28*Inputs!$B$15*Curves!$C$12</f>
        <v>55260.93953</v>
      </c>
      <c r="AH28" s="12">
        <f>$B28*Inputs!$B$15*Curves!$C$13</f>
        <v>49401.06335</v>
      </c>
      <c r="AI28" s="12">
        <f>$B28*Inputs!$B$15*Curves!$C$14</f>
        <v>57406.22196</v>
      </c>
      <c r="AJ28" s="12">
        <f>$B28*Inputs!$B$15*Curves!$C$15</f>
        <v>40000</v>
      </c>
      <c r="AK28" s="12">
        <f>$B28*Inputs!$B$15*Curves!$C$16</f>
        <v>40000</v>
      </c>
      <c r="AL28" s="12">
        <f>$B28*Inputs!$B$15*Curves!$C$17</f>
        <v>40000</v>
      </c>
    </row>
    <row r="29" ht="15.75" customHeight="1">
      <c r="A29" s="3" t="str">
        <f>Acquisition_Plan!A28</f>
        <v>2028-01-22</v>
      </c>
      <c r="B29" s="12">
        <f>Acquisition_Plan!D28+Acquisition_Plan!F28+Acquisition_Plan!E28</f>
        <v>800000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f>$B29*Inputs!$B$15*Curves!$C$5</f>
        <v>631870.0014</v>
      </c>
      <c r="AB29" s="12">
        <f>$B29*Inputs!$B$15*Curves!$C$6</f>
        <v>301297.2619</v>
      </c>
      <c r="AC29" s="12">
        <f>$B29*Inputs!$B$15*Curves!$C$7</f>
        <v>193134.6576</v>
      </c>
      <c r="AD29" s="12">
        <f>$B29*Inputs!$B$15*Curves!$C$8</f>
        <v>135881.8122</v>
      </c>
      <c r="AE29" s="12">
        <f>$B29*Inputs!$B$15*Curves!$C$9</f>
        <v>80785.78882</v>
      </c>
      <c r="AF29" s="12">
        <f>$B29*Inputs!$B$15*Curves!$C$10</f>
        <v>72418.45365</v>
      </c>
      <c r="AG29" s="12">
        <f>$B29*Inputs!$B$15*Curves!$C$11</f>
        <v>62543.7996</v>
      </c>
      <c r="AH29" s="12">
        <f>$B29*Inputs!$B$15*Curves!$C$12</f>
        <v>55260.93953</v>
      </c>
      <c r="AI29" s="12">
        <f>$B29*Inputs!$B$15*Curves!$C$13</f>
        <v>49401.06335</v>
      </c>
      <c r="AJ29" s="12">
        <f>$B29*Inputs!$B$15*Curves!$C$14</f>
        <v>57406.22196</v>
      </c>
      <c r="AK29" s="12">
        <f>$B29*Inputs!$B$15*Curves!$C$15</f>
        <v>40000</v>
      </c>
      <c r="AL29" s="12">
        <f>$B29*Inputs!$B$15*Curves!$C$16</f>
        <v>40000</v>
      </c>
    </row>
    <row r="30" ht="15.75" customHeight="1">
      <c r="A30" s="3" t="str">
        <f>Acquisition_Plan!A29</f>
        <v>2028-02-21</v>
      </c>
      <c r="B30" s="12">
        <f>Acquisition_Plan!D29+Acquisition_Plan!F29+Acquisition_Plan!E29</f>
        <v>800000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2">
        <f>$B30*Inputs!$B$15*Curves!$C$5</f>
        <v>631870.0014</v>
      </c>
      <c r="AC30" s="12">
        <f>$B30*Inputs!$B$15*Curves!$C$6</f>
        <v>301297.2619</v>
      </c>
      <c r="AD30" s="12">
        <f>$B30*Inputs!$B$15*Curves!$C$7</f>
        <v>193134.6576</v>
      </c>
      <c r="AE30" s="12">
        <f>$B30*Inputs!$B$15*Curves!$C$8</f>
        <v>135881.8122</v>
      </c>
      <c r="AF30" s="12">
        <f>$B30*Inputs!$B$15*Curves!$C$9</f>
        <v>80785.78882</v>
      </c>
      <c r="AG30" s="12">
        <f>$B30*Inputs!$B$15*Curves!$C$10</f>
        <v>72418.45365</v>
      </c>
      <c r="AH30" s="12">
        <f>$B30*Inputs!$B$15*Curves!$C$11</f>
        <v>62543.7996</v>
      </c>
      <c r="AI30" s="12">
        <f>$B30*Inputs!$B$15*Curves!$C$12</f>
        <v>55260.93953</v>
      </c>
      <c r="AJ30" s="12">
        <f>$B30*Inputs!$B$15*Curves!$C$13</f>
        <v>49401.06335</v>
      </c>
      <c r="AK30" s="12">
        <f>$B30*Inputs!$B$15*Curves!$C$14</f>
        <v>57406.22196</v>
      </c>
      <c r="AL30" s="12">
        <f>$B30*Inputs!$B$15*Curves!$C$15</f>
        <v>40000</v>
      </c>
    </row>
    <row r="31" ht="15.75" customHeight="1">
      <c r="A31" s="3" t="str">
        <f>Acquisition_Plan!A30</f>
        <v>2028-03-22</v>
      </c>
      <c r="B31" s="12">
        <f>Acquisition_Plan!D30+Acquisition_Plan!F30+Acquisition_Plan!E30</f>
        <v>800000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2">
        <v>0.0</v>
      </c>
      <c r="AA31" s="12">
        <v>0.0</v>
      </c>
      <c r="AB31" s="12">
        <v>0.0</v>
      </c>
      <c r="AC31" s="12">
        <f>$B31*Inputs!$B$15*Curves!$C$5</f>
        <v>631870.0014</v>
      </c>
      <c r="AD31" s="12">
        <f>$B31*Inputs!$B$15*Curves!$C$6</f>
        <v>301297.2619</v>
      </c>
      <c r="AE31" s="12">
        <f>$B31*Inputs!$B$15*Curves!$C$7</f>
        <v>193134.6576</v>
      </c>
      <c r="AF31" s="12">
        <f>$B31*Inputs!$B$15*Curves!$C$8</f>
        <v>135881.8122</v>
      </c>
      <c r="AG31" s="12">
        <f>$B31*Inputs!$B$15*Curves!$C$9</f>
        <v>80785.78882</v>
      </c>
      <c r="AH31" s="12">
        <f>$B31*Inputs!$B$15*Curves!$C$10</f>
        <v>72418.45365</v>
      </c>
      <c r="AI31" s="12">
        <f>$B31*Inputs!$B$15*Curves!$C$11</f>
        <v>62543.7996</v>
      </c>
      <c r="AJ31" s="12">
        <f>$B31*Inputs!$B$15*Curves!$C$12</f>
        <v>55260.93953</v>
      </c>
      <c r="AK31" s="12">
        <f>$B31*Inputs!$B$15*Curves!$C$13</f>
        <v>49401.06335</v>
      </c>
      <c r="AL31" s="12">
        <f>$B31*Inputs!$B$15*Curves!$C$14</f>
        <v>57406.22196</v>
      </c>
    </row>
    <row r="32" ht="15.75" customHeight="1">
      <c r="A32" s="3" t="str">
        <f>Acquisition_Plan!A31</f>
        <v>2028-04-21</v>
      </c>
      <c r="B32" s="12">
        <f>Acquisition_Plan!D31+Acquisition_Plan!F31+Acquisition_Plan!E31</f>
        <v>800000</v>
      </c>
      <c r="C32" s="12">
        <v>0.0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2">
        <v>0.0</v>
      </c>
      <c r="AA32" s="12">
        <v>0.0</v>
      </c>
      <c r="AB32" s="12">
        <v>0.0</v>
      </c>
      <c r="AC32" s="12">
        <v>0.0</v>
      </c>
      <c r="AD32" s="12">
        <f>$B32*Inputs!$B$15*Curves!$C$5</f>
        <v>631870.0014</v>
      </c>
      <c r="AE32" s="12">
        <f>$B32*Inputs!$B$15*Curves!$C$6</f>
        <v>301297.2619</v>
      </c>
      <c r="AF32" s="12">
        <f>$B32*Inputs!$B$15*Curves!$C$7</f>
        <v>193134.6576</v>
      </c>
      <c r="AG32" s="12">
        <f>$B32*Inputs!$B$15*Curves!$C$8</f>
        <v>135881.8122</v>
      </c>
      <c r="AH32" s="12">
        <f>$B32*Inputs!$B$15*Curves!$C$9</f>
        <v>80785.78882</v>
      </c>
      <c r="AI32" s="12">
        <f>$B32*Inputs!$B$15*Curves!$C$10</f>
        <v>72418.45365</v>
      </c>
      <c r="AJ32" s="12">
        <f>$B32*Inputs!$B$15*Curves!$C$11</f>
        <v>62543.7996</v>
      </c>
      <c r="AK32" s="12">
        <f>$B32*Inputs!$B$15*Curves!$C$12</f>
        <v>55260.93953</v>
      </c>
      <c r="AL32" s="12">
        <f>$B32*Inputs!$B$15*Curves!$C$13</f>
        <v>49401.06335</v>
      </c>
    </row>
    <row r="33" ht="15.75" customHeight="1">
      <c r="A33" s="3" t="str">
        <f>Acquisition_Plan!A32</f>
        <v>2028-05-21</v>
      </c>
      <c r="B33" s="12">
        <f>Acquisition_Plan!D32+Acquisition_Plan!F32+Acquisition_Plan!E32</f>
        <v>800000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12">
        <v>0.0</v>
      </c>
      <c r="AA33" s="12">
        <v>0.0</v>
      </c>
      <c r="AB33" s="12">
        <v>0.0</v>
      </c>
      <c r="AC33" s="12">
        <v>0.0</v>
      </c>
      <c r="AD33" s="12">
        <v>0.0</v>
      </c>
      <c r="AE33" s="12">
        <f>$B33*Inputs!$B$15*Curves!$C$5</f>
        <v>631870.0014</v>
      </c>
      <c r="AF33" s="12">
        <f>$B33*Inputs!$B$15*Curves!$C$6</f>
        <v>301297.2619</v>
      </c>
      <c r="AG33" s="12">
        <f>$B33*Inputs!$B$15*Curves!$C$7</f>
        <v>193134.6576</v>
      </c>
      <c r="AH33" s="12">
        <f>$B33*Inputs!$B$15*Curves!$C$8</f>
        <v>135881.8122</v>
      </c>
      <c r="AI33" s="12">
        <f>$B33*Inputs!$B$15*Curves!$C$9</f>
        <v>80785.78882</v>
      </c>
      <c r="AJ33" s="12">
        <f>$B33*Inputs!$B$15*Curves!$C$10</f>
        <v>72418.45365</v>
      </c>
      <c r="AK33" s="12">
        <f>$B33*Inputs!$B$15*Curves!$C$11</f>
        <v>62543.7996</v>
      </c>
      <c r="AL33" s="12">
        <f>$B33*Inputs!$B$15*Curves!$C$12</f>
        <v>55260.93953</v>
      </c>
    </row>
    <row r="34" ht="15.75" customHeight="1">
      <c r="A34" s="3" t="str">
        <f>Acquisition_Plan!A33</f>
        <v>2028-06-20</v>
      </c>
      <c r="B34" s="12">
        <f>Acquisition_Plan!D33+Acquisition_Plan!F33+Acquisition_Plan!E33</f>
        <v>800000</v>
      </c>
      <c r="C34" s="12">
        <v>0.0</v>
      </c>
      <c r="D34" s="12">
        <v>0.0</v>
      </c>
      <c r="E34" s="12">
        <v>0.0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  <c r="T34" s="12">
        <v>0.0</v>
      </c>
      <c r="U34" s="12">
        <v>0.0</v>
      </c>
      <c r="V34" s="12">
        <v>0.0</v>
      </c>
      <c r="W34" s="12">
        <v>0.0</v>
      </c>
      <c r="X34" s="12">
        <v>0.0</v>
      </c>
      <c r="Y34" s="12">
        <v>0.0</v>
      </c>
      <c r="Z34" s="12">
        <v>0.0</v>
      </c>
      <c r="AA34" s="12">
        <v>0.0</v>
      </c>
      <c r="AB34" s="12">
        <v>0.0</v>
      </c>
      <c r="AC34" s="12">
        <v>0.0</v>
      </c>
      <c r="AD34" s="12">
        <v>0.0</v>
      </c>
      <c r="AE34" s="12">
        <v>0.0</v>
      </c>
      <c r="AF34" s="12">
        <f>$B34*Inputs!$B$15*Curves!$C$5</f>
        <v>631870.0014</v>
      </c>
      <c r="AG34" s="12">
        <f>$B34*Inputs!$B$15*Curves!$C$6</f>
        <v>301297.2619</v>
      </c>
      <c r="AH34" s="12">
        <f>$B34*Inputs!$B$15*Curves!$C$7</f>
        <v>193134.6576</v>
      </c>
      <c r="AI34" s="12">
        <f>$B34*Inputs!$B$15*Curves!$C$8</f>
        <v>135881.8122</v>
      </c>
      <c r="AJ34" s="12">
        <f>$B34*Inputs!$B$15*Curves!$C$9</f>
        <v>80785.78882</v>
      </c>
      <c r="AK34" s="12">
        <f>$B34*Inputs!$B$15*Curves!$C$10</f>
        <v>72418.45365</v>
      </c>
      <c r="AL34" s="12">
        <f>$B34*Inputs!$B$15*Curves!$C$11</f>
        <v>62543.7996</v>
      </c>
    </row>
    <row r="35" ht="15.75" customHeight="1">
      <c r="A35" s="3" t="str">
        <f>Acquisition_Plan!A34</f>
        <v>2028-07-20</v>
      </c>
      <c r="B35" s="12">
        <f>Acquisition_Plan!D34+Acquisition_Plan!F34+Acquisition_Plan!E34</f>
        <v>800000</v>
      </c>
      <c r="C35" s="12">
        <v>0.0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12">
        <v>0.0</v>
      </c>
      <c r="AD35" s="12">
        <v>0.0</v>
      </c>
      <c r="AE35" s="12">
        <v>0.0</v>
      </c>
      <c r="AF35" s="12">
        <v>0.0</v>
      </c>
      <c r="AG35" s="12">
        <f>$B35*Inputs!$B$15*Curves!$C$5</f>
        <v>631870.0014</v>
      </c>
      <c r="AH35" s="12">
        <f>$B35*Inputs!$B$15*Curves!$C$6</f>
        <v>301297.2619</v>
      </c>
      <c r="AI35" s="12">
        <f>$B35*Inputs!$B$15*Curves!$C$7</f>
        <v>193134.6576</v>
      </c>
      <c r="AJ35" s="12">
        <f>$B35*Inputs!$B$15*Curves!$C$8</f>
        <v>135881.8122</v>
      </c>
      <c r="AK35" s="12">
        <f>$B35*Inputs!$B$15*Curves!$C$9</f>
        <v>80785.78882</v>
      </c>
      <c r="AL35" s="12">
        <f>$B35*Inputs!$B$15*Curves!$C$10</f>
        <v>72418.45365</v>
      </c>
    </row>
    <row r="36" ht="15.75" customHeight="1">
      <c r="A36" s="3" t="str">
        <f>Acquisition_Plan!A35</f>
        <v>2028-08-19</v>
      </c>
      <c r="B36" s="12">
        <f>Acquisition_Plan!D35+Acquisition_Plan!F35+Acquisition_Plan!E35</f>
        <v>800000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0.0</v>
      </c>
      <c r="S36" s="12">
        <v>0.0</v>
      </c>
      <c r="T36" s="12">
        <v>0.0</v>
      </c>
      <c r="U36" s="12">
        <v>0.0</v>
      </c>
      <c r="V36" s="12">
        <v>0.0</v>
      </c>
      <c r="W36" s="12">
        <v>0.0</v>
      </c>
      <c r="X36" s="12">
        <v>0.0</v>
      </c>
      <c r="Y36" s="12">
        <v>0.0</v>
      </c>
      <c r="Z36" s="12">
        <v>0.0</v>
      </c>
      <c r="AA36" s="12">
        <v>0.0</v>
      </c>
      <c r="AB36" s="12">
        <v>0.0</v>
      </c>
      <c r="AC36" s="12">
        <v>0.0</v>
      </c>
      <c r="AD36" s="12">
        <v>0.0</v>
      </c>
      <c r="AE36" s="12">
        <v>0.0</v>
      </c>
      <c r="AF36" s="12">
        <v>0.0</v>
      </c>
      <c r="AG36" s="12">
        <v>0.0</v>
      </c>
      <c r="AH36" s="12">
        <f>$B36*Inputs!$B$15*Curves!$C$5</f>
        <v>631870.0014</v>
      </c>
      <c r="AI36" s="12">
        <f>$B36*Inputs!$B$15*Curves!$C$6</f>
        <v>301297.2619</v>
      </c>
      <c r="AJ36" s="12">
        <f>$B36*Inputs!$B$15*Curves!$C$7</f>
        <v>193134.6576</v>
      </c>
      <c r="AK36" s="12">
        <f>$B36*Inputs!$B$15*Curves!$C$8</f>
        <v>135881.8122</v>
      </c>
      <c r="AL36" s="12">
        <f>$B36*Inputs!$B$15*Curves!$C$9</f>
        <v>80785.78882</v>
      </c>
    </row>
    <row r="37" ht="15.75" customHeight="1">
      <c r="A37" s="3" t="str">
        <f>Acquisition_Plan!A36</f>
        <v>2028-09-18</v>
      </c>
      <c r="B37" s="12">
        <f>Acquisition_Plan!D36+Acquisition_Plan!F36+Acquisition_Plan!E36</f>
        <v>800000</v>
      </c>
      <c r="C37" s="12">
        <v>0.0</v>
      </c>
      <c r="D37" s="12">
        <v>0.0</v>
      </c>
      <c r="E37" s="12">
        <v>0.0</v>
      </c>
      <c r="F37" s="12">
        <v>0.0</v>
      </c>
      <c r="G37" s="12">
        <v>0.0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0.0</v>
      </c>
      <c r="P37" s="12">
        <v>0.0</v>
      </c>
      <c r="Q37" s="12">
        <v>0.0</v>
      </c>
      <c r="R37" s="12">
        <v>0.0</v>
      </c>
      <c r="S37" s="12">
        <v>0.0</v>
      </c>
      <c r="T37" s="12">
        <v>0.0</v>
      </c>
      <c r="U37" s="12">
        <v>0.0</v>
      </c>
      <c r="V37" s="12">
        <v>0.0</v>
      </c>
      <c r="W37" s="12">
        <v>0.0</v>
      </c>
      <c r="X37" s="12">
        <v>0.0</v>
      </c>
      <c r="Y37" s="12">
        <v>0.0</v>
      </c>
      <c r="Z37" s="12">
        <v>0.0</v>
      </c>
      <c r="AA37" s="12">
        <v>0.0</v>
      </c>
      <c r="AB37" s="12">
        <v>0.0</v>
      </c>
      <c r="AC37" s="12">
        <v>0.0</v>
      </c>
      <c r="AD37" s="12">
        <v>0.0</v>
      </c>
      <c r="AE37" s="12">
        <v>0.0</v>
      </c>
      <c r="AF37" s="12">
        <v>0.0</v>
      </c>
      <c r="AG37" s="12">
        <v>0.0</v>
      </c>
      <c r="AH37" s="12">
        <v>0.0</v>
      </c>
      <c r="AI37" s="12">
        <f>$B37*Inputs!$B$15*Curves!$C$5</f>
        <v>631870.0014</v>
      </c>
      <c r="AJ37" s="12">
        <f>$B37*Inputs!$B$15*Curves!$C$6</f>
        <v>301297.2619</v>
      </c>
      <c r="AK37" s="12">
        <f>$B37*Inputs!$B$15*Curves!$C$7</f>
        <v>193134.6576</v>
      </c>
      <c r="AL37" s="12">
        <f>$B37*Inputs!$B$15*Curves!$C$8</f>
        <v>135881.8122</v>
      </c>
    </row>
    <row r="38" ht="15.75" customHeight="1">
      <c r="A38" s="3" t="str">
        <f>Acquisition_Plan!A37</f>
        <v>2028-10-18</v>
      </c>
      <c r="B38" s="12">
        <f>Acquisition_Plan!D37+Acquisition_Plan!F37+Acquisition_Plan!E37</f>
        <v>800000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  <c r="T38" s="12">
        <v>0.0</v>
      </c>
      <c r="U38" s="12">
        <v>0.0</v>
      </c>
      <c r="V38" s="12">
        <v>0.0</v>
      </c>
      <c r="W38" s="12">
        <v>0.0</v>
      </c>
      <c r="X38" s="12">
        <v>0.0</v>
      </c>
      <c r="Y38" s="12">
        <v>0.0</v>
      </c>
      <c r="Z38" s="12">
        <v>0.0</v>
      </c>
      <c r="AA38" s="12">
        <v>0.0</v>
      </c>
      <c r="AB38" s="12">
        <v>0.0</v>
      </c>
      <c r="AC38" s="12">
        <v>0.0</v>
      </c>
      <c r="AD38" s="12">
        <v>0.0</v>
      </c>
      <c r="AE38" s="12">
        <v>0.0</v>
      </c>
      <c r="AF38" s="12">
        <v>0.0</v>
      </c>
      <c r="AG38" s="12">
        <v>0.0</v>
      </c>
      <c r="AH38" s="12">
        <v>0.0</v>
      </c>
      <c r="AI38" s="12">
        <v>0.0</v>
      </c>
      <c r="AJ38" s="12">
        <f>$B38*Inputs!$B$15*Curves!$C$5</f>
        <v>631870.0014</v>
      </c>
      <c r="AK38" s="12">
        <f>$B38*Inputs!$B$15*Curves!$C$6</f>
        <v>301297.2619</v>
      </c>
      <c r="AL38" s="12">
        <f>$B38*Inputs!$B$15*Curves!$C$7</f>
        <v>193134.6576</v>
      </c>
    </row>
    <row r="39" ht="15.75" customHeight="1">
      <c r="A39" s="3" t="str">
        <f>Acquisition_Plan!A38</f>
        <v>2028-11-17</v>
      </c>
      <c r="B39" s="12">
        <f>Acquisition_Plan!D38+Acquisition_Plan!F38+Acquisition_Plan!E38</f>
        <v>800000</v>
      </c>
      <c r="C39" s="12">
        <v>0.0</v>
      </c>
      <c r="D39" s="12">
        <v>0.0</v>
      </c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2">
        <v>0.0</v>
      </c>
      <c r="R39" s="12">
        <v>0.0</v>
      </c>
      <c r="S39" s="12">
        <v>0.0</v>
      </c>
      <c r="T39" s="12">
        <v>0.0</v>
      </c>
      <c r="U39" s="12">
        <v>0.0</v>
      </c>
      <c r="V39" s="12">
        <v>0.0</v>
      </c>
      <c r="W39" s="12">
        <v>0.0</v>
      </c>
      <c r="X39" s="12">
        <v>0.0</v>
      </c>
      <c r="Y39" s="12">
        <v>0.0</v>
      </c>
      <c r="Z39" s="12">
        <v>0.0</v>
      </c>
      <c r="AA39" s="12">
        <v>0.0</v>
      </c>
      <c r="AB39" s="12">
        <v>0.0</v>
      </c>
      <c r="AC39" s="12">
        <v>0.0</v>
      </c>
      <c r="AD39" s="12">
        <v>0.0</v>
      </c>
      <c r="AE39" s="12">
        <v>0.0</v>
      </c>
      <c r="AF39" s="12">
        <v>0.0</v>
      </c>
      <c r="AG39" s="12">
        <v>0.0</v>
      </c>
      <c r="AH39" s="12">
        <v>0.0</v>
      </c>
      <c r="AI39" s="12">
        <v>0.0</v>
      </c>
      <c r="AJ39" s="12">
        <v>0.0</v>
      </c>
      <c r="AK39" s="12">
        <f>$B39*Inputs!$B$15*Curves!$C$5</f>
        <v>631870.0014</v>
      </c>
      <c r="AL39" s="12">
        <f>$B39*Inputs!$B$15*Curves!$C$6</f>
        <v>301297.2619</v>
      </c>
    </row>
    <row r="40" ht="15.75" customHeight="1">
      <c r="A40" s="3" t="str">
        <f>Acquisition_Plan!A39</f>
        <v>2028-12-17</v>
      </c>
      <c r="B40" s="12">
        <f>Acquisition_Plan!D39+Acquisition_Plan!F39+Acquisition_Plan!E39</f>
        <v>800000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0.0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0.0</v>
      </c>
      <c r="S40" s="12">
        <v>0.0</v>
      </c>
      <c r="T40" s="12">
        <v>0.0</v>
      </c>
      <c r="U40" s="12">
        <v>0.0</v>
      </c>
      <c r="V40" s="12">
        <v>0.0</v>
      </c>
      <c r="W40" s="12">
        <v>0.0</v>
      </c>
      <c r="X40" s="12">
        <v>0.0</v>
      </c>
      <c r="Y40" s="12">
        <v>0.0</v>
      </c>
      <c r="Z40" s="12">
        <v>0.0</v>
      </c>
      <c r="AA40" s="12">
        <v>0.0</v>
      </c>
      <c r="AB40" s="12">
        <v>0.0</v>
      </c>
      <c r="AC40" s="12">
        <v>0.0</v>
      </c>
      <c r="AD40" s="12">
        <v>0.0</v>
      </c>
      <c r="AE40" s="12">
        <v>0.0</v>
      </c>
      <c r="AF40" s="12">
        <v>0.0</v>
      </c>
      <c r="AG40" s="12">
        <v>0.0</v>
      </c>
      <c r="AH40" s="12">
        <v>0.0</v>
      </c>
      <c r="AI40" s="12">
        <v>0.0</v>
      </c>
      <c r="AJ40" s="12">
        <v>0.0</v>
      </c>
      <c r="AK40" s="12">
        <v>0.0</v>
      </c>
      <c r="AL40" s="12">
        <f>$B40*Inputs!$B$15*Curves!$C$5</f>
        <v>631870.0014</v>
      </c>
    </row>
    <row r="41" ht="15.75" customHeight="1">
      <c r="A41" s="2" t="s">
        <v>139</v>
      </c>
      <c r="C41" s="22">
        <f t="shared" ref="C41:AL41" si="1">SUM(C5:C40)</f>
        <v>157967.5004</v>
      </c>
      <c r="D41" s="22">
        <f t="shared" si="1"/>
        <v>272783.6909</v>
      </c>
      <c r="E41" s="22">
        <f t="shared" si="1"/>
        <v>379390.3093</v>
      </c>
      <c r="F41" s="22">
        <f t="shared" si="1"/>
        <v>444262.7573</v>
      </c>
      <c r="G41" s="22">
        <f t="shared" si="1"/>
        <v>564006.484</v>
      </c>
      <c r="H41" s="22">
        <f t="shared" si="1"/>
        <v>633314.9802</v>
      </c>
      <c r="I41" s="22">
        <f t="shared" si="1"/>
        <v>761651.7777</v>
      </c>
      <c r="J41" s="22">
        <f t="shared" si="1"/>
        <v>838549.5376</v>
      </c>
      <c r="K41" s="22">
        <f t="shared" si="1"/>
        <v>971486.4057</v>
      </c>
      <c r="L41" s="22">
        <f t="shared" si="1"/>
        <v>1056079.027</v>
      </c>
      <c r="M41" s="22">
        <f t="shared" si="1"/>
        <v>1193796.264</v>
      </c>
      <c r="N41" s="22">
        <f t="shared" si="1"/>
        <v>1280491.461</v>
      </c>
      <c r="O41" s="22">
        <f t="shared" si="1"/>
        <v>1422708.375</v>
      </c>
      <c r="P41" s="22">
        <f t="shared" si="1"/>
        <v>1507991.461</v>
      </c>
      <c r="Q41" s="22">
        <f t="shared" si="1"/>
        <v>1566849.625</v>
      </c>
      <c r="R41" s="22">
        <f t="shared" si="1"/>
        <v>1615720.553</v>
      </c>
      <c r="S41" s="22">
        <f t="shared" si="1"/>
        <v>1653561.884</v>
      </c>
      <c r="T41" s="22">
        <f t="shared" si="1"/>
        <v>1686697.586</v>
      </c>
      <c r="U41" s="22">
        <f t="shared" si="1"/>
        <v>1715690.694</v>
      </c>
      <c r="V41" s="22">
        <f t="shared" si="1"/>
        <v>1741024.089</v>
      </c>
      <c r="W41" s="22">
        <f t="shared" si="1"/>
        <v>1763449.222</v>
      </c>
      <c r="X41" s="22">
        <f t="shared" si="1"/>
        <v>1783125</v>
      </c>
      <c r="Y41" s="22">
        <f t="shared" si="1"/>
        <v>1800625</v>
      </c>
      <c r="Z41" s="22">
        <f t="shared" si="1"/>
        <v>1814375</v>
      </c>
      <c r="AA41" s="22">
        <f t="shared" si="1"/>
        <v>1828125</v>
      </c>
      <c r="AB41" s="22">
        <f t="shared" si="1"/>
        <v>1838125</v>
      </c>
      <c r="AC41" s="22">
        <f t="shared" si="1"/>
        <v>1848125</v>
      </c>
      <c r="AD41" s="22">
        <f t="shared" si="1"/>
        <v>1858125</v>
      </c>
      <c r="AE41" s="22">
        <f t="shared" si="1"/>
        <v>1868125</v>
      </c>
      <c r="AF41" s="22">
        <f t="shared" si="1"/>
        <v>1878125</v>
      </c>
      <c r="AG41" s="22">
        <f t="shared" si="1"/>
        <v>1888125</v>
      </c>
      <c r="AH41" s="22">
        <f t="shared" si="1"/>
        <v>1898125</v>
      </c>
      <c r="AI41" s="22">
        <f t="shared" si="1"/>
        <v>1908125</v>
      </c>
      <c r="AJ41" s="22">
        <f t="shared" si="1"/>
        <v>1918125</v>
      </c>
      <c r="AK41" s="22">
        <f t="shared" si="1"/>
        <v>1928125</v>
      </c>
      <c r="AL41" s="22">
        <f t="shared" si="1"/>
        <v>1938125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>
      <c r="A1" s="8" t="s">
        <v>140</v>
      </c>
    </row>
    <row r="2">
      <c r="A2" s="3" t="s">
        <v>102</v>
      </c>
    </row>
    <row r="4">
      <c r="A4" s="9" t="s">
        <v>39</v>
      </c>
      <c r="B4" s="9" t="s">
        <v>40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  <c r="H4" s="9" t="s">
        <v>108</v>
      </c>
      <c r="I4" s="9" t="s">
        <v>109</v>
      </c>
      <c r="J4" s="9" t="s">
        <v>110</v>
      </c>
      <c r="K4" s="9" t="s">
        <v>111</v>
      </c>
      <c r="L4" s="9" t="s">
        <v>112</v>
      </c>
      <c r="M4" s="9" t="s">
        <v>113</v>
      </c>
      <c r="N4" s="9" t="s">
        <v>114</v>
      </c>
      <c r="O4" s="9" t="s">
        <v>115</v>
      </c>
      <c r="P4" s="9" t="s">
        <v>116</v>
      </c>
      <c r="Q4" s="9" t="s">
        <v>117</v>
      </c>
      <c r="R4" s="9" t="s">
        <v>118</v>
      </c>
      <c r="S4" s="9" t="s">
        <v>119</v>
      </c>
      <c r="T4" s="9" t="s">
        <v>120</v>
      </c>
      <c r="U4" s="9" t="s">
        <v>121</v>
      </c>
      <c r="V4" s="9" t="s">
        <v>122</v>
      </c>
      <c r="W4" s="9" t="s">
        <v>123</v>
      </c>
      <c r="X4" s="9" t="s">
        <v>124</v>
      </c>
      <c r="Y4" s="9" t="s">
        <v>125</v>
      </c>
      <c r="Z4" s="9" t="s">
        <v>126</v>
      </c>
      <c r="AA4" s="9" t="s">
        <v>127</v>
      </c>
      <c r="AB4" s="9" t="s">
        <v>128</v>
      </c>
      <c r="AC4" s="9" t="s">
        <v>129</v>
      </c>
      <c r="AD4" s="9" t="s">
        <v>130</v>
      </c>
      <c r="AE4" s="9" t="s">
        <v>131</v>
      </c>
      <c r="AF4" s="9" t="s">
        <v>132</v>
      </c>
      <c r="AG4" s="9" t="s">
        <v>133</v>
      </c>
      <c r="AH4" s="9" t="s">
        <v>134</v>
      </c>
      <c r="AI4" s="9" t="s">
        <v>135</v>
      </c>
      <c r="AJ4" s="9" t="s">
        <v>136</v>
      </c>
      <c r="AK4" s="9" t="s">
        <v>137</v>
      </c>
      <c r="AL4" s="9" t="s">
        <v>138</v>
      </c>
    </row>
    <row r="5">
      <c r="A5" s="3" t="str">
        <f>Acquisition_Plan!A4</f>
        <v>2026-02-01</v>
      </c>
      <c r="B5" s="12">
        <f>Acquisition_Plan!D4+Acquisition_Plan!F4+Acquisition_Plan!E4</f>
        <v>200000</v>
      </c>
      <c r="C5" s="12">
        <f>$B5*Inputs!$B$15*Inputs!$B$16*Curves!$E$5</f>
        <v>21388.02594</v>
      </c>
      <c r="D5" s="12">
        <f>$B5*Inputs!$B$15*Inputs!$B$16*Curves!$E$6</f>
        <v>23533.98462</v>
      </c>
      <c r="E5" s="12">
        <f>$B5*Inputs!$B$15*Inputs!$B$16*Curves!$E$7</f>
        <v>13209.70068</v>
      </c>
      <c r="F5" s="12">
        <f>$B5*Inputs!$B$15*Inputs!$B$16*Curves!$E$8</f>
        <v>14254.59481</v>
      </c>
      <c r="G5" s="12">
        <f>$B5*Inputs!$B$15*Inputs!$B$16*Curves!$E$9</f>
        <v>14323.85725</v>
      </c>
      <c r="H5" s="12">
        <f>$B5*Inputs!$B$15*Inputs!$B$16*Curves!$E$10</f>
        <v>10549.74391</v>
      </c>
      <c r="I5" s="12">
        <f>$B5*Inputs!$B$15*Inputs!$B$16*Curves!$E$11</f>
        <v>13887.83736</v>
      </c>
      <c r="J5" s="12">
        <f>$B5*Inputs!$B$15*Inputs!$B$16*Curves!$E$12</f>
        <v>6095.255349</v>
      </c>
      <c r="K5" s="12">
        <f>$B5*Inputs!$B$15*Inputs!$B$16*Curves!$E$13</f>
        <v>3939.926489</v>
      </c>
      <c r="L5" s="12">
        <f>$B5*Inputs!$B$15*Inputs!$B$16*Curves!$E$14</f>
        <v>5917.073595</v>
      </c>
      <c r="M5" s="12">
        <f>$B5*Inputs!$B$15*Inputs!$B$16*Curves!$E$15</f>
        <v>3100</v>
      </c>
      <c r="N5" s="12">
        <f>$B5*Inputs!$B$15*Inputs!$B$16*Curves!$E$16</f>
        <v>3100</v>
      </c>
      <c r="O5" s="12">
        <f>$B5*Inputs!$B$15*Inputs!$B$16*Curves!$E$17</f>
        <v>3100</v>
      </c>
      <c r="P5" s="12">
        <f>$B5*Inputs!$B$15*Inputs!$B$16*Curves!$E$18</f>
        <v>775</v>
      </c>
      <c r="Q5" s="12">
        <f>$B5*Inputs!$B$15*Inputs!$B$16*Curves!$E$19</f>
        <v>775</v>
      </c>
      <c r="R5" s="12">
        <f>$B5*Inputs!$B$15*Inputs!$B$16*Curves!$E$20</f>
        <v>775</v>
      </c>
      <c r="S5" s="12">
        <f>$B5*Inputs!$B$15*Inputs!$B$16*Curves!$E$21</f>
        <v>775</v>
      </c>
      <c r="T5" s="12">
        <f>$B5*Inputs!$B$15*Inputs!$B$16*Curves!$E$22</f>
        <v>775</v>
      </c>
      <c r="U5" s="12">
        <f>$B5*Inputs!$B$15*Inputs!$B$16*Curves!$E$23</f>
        <v>775</v>
      </c>
      <c r="V5" s="12">
        <f>$B5*Inputs!$B$15*Inputs!$B$16*Curves!$E$24</f>
        <v>775</v>
      </c>
      <c r="W5" s="12">
        <f>$B5*Inputs!$B$15*Inputs!$B$16*Curves!$E$25</f>
        <v>775</v>
      </c>
      <c r="X5" s="12">
        <f>$B5*Inputs!$B$15*Inputs!$B$16*Curves!$E$26</f>
        <v>775</v>
      </c>
      <c r="Y5" s="12">
        <f>$B5*Inputs!$B$15*Inputs!$B$16*Curves!$E$27</f>
        <v>775</v>
      </c>
      <c r="Z5" s="12">
        <f>$B5*Inputs!$B$15*Inputs!$B$16*Curves!$E$28</f>
        <v>775</v>
      </c>
      <c r="AA5" s="12">
        <f>$B5*Inputs!$B$15*Inputs!$B$16*Curves!$E$29</f>
        <v>775</v>
      </c>
      <c r="AB5" s="12">
        <f>$B5*Inputs!$B$15*Inputs!$B$16*Curves!$E$30</f>
        <v>775</v>
      </c>
      <c r="AC5" s="12">
        <f>$B5*Inputs!$B$15*Inputs!$B$16*Curves!$E$31</f>
        <v>775</v>
      </c>
      <c r="AD5" s="12">
        <f>$B5*Inputs!$B$15*Inputs!$B$16*Curves!$E$32</f>
        <v>775</v>
      </c>
      <c r="AE5" s="12">
        <f>$B5*Inputs!$B$15*Inputs!$B$16*Curves!$E$33</f>
        <v>775</v>
      </c>
      <c r="AF5" s="12">
        <f>$B5*Inputs!$B$15*Inputs!$B$16*Curves!$E$34</f>
        <v>775</v>
      </c>
      <c r="AG5" s="12">
        <f>$B5*Inputs!$B$15*Inputs!$B$16*Curves!$E$35</f>
        <v>775</v>
      </c>
      <c r="AH5" s="12">
        <f>$B5*Inputs!$B$15*Inputs!$B$16*Curves!$E$36</f>
        <v>775</v>
      </c>
      <c r="AI5" s="12">
        <f>$B5*Inputs!$B$15*Inputs!$B$16*Curves!$E$37</f>
        <v>775</v>
      </c>
      <c r="AJ5" s="12">
        <f>$B5*Inputs!$B$15*Inputs!$B$16*Curves!$E$38</f>
        <v>775</v>
      </c>
      <c r="AK5" s="12">
        <f>$B5*Inputs!$B$15*Inputs!$B$16*Curves!$E$39</f>
        <v>775</v>
      </c>
      <c r="AL5" s="12">
        <f>$B5*Inputs!$B$15*Inputs!$B$16*Curves!$E$40</f>
        <v>775</v>
      </c>
    </row>
    <row r="6">
      <c r="A6" s="3" t="str">
        <f>Acquisition_Plan!A5</f>
        <v>2026-03-03</v>
      </c>
      <c r="B6" s="12">
        <f>Acquisition_Plan!D5+Acquisition_Plan!F5+Acquisition_Plan!E5</f>
        <v>250000</v>
      </c>
      <c r="C6" s="12">
        <v>0.0</v>
      </c>
      <c r="D6" s="12">
        <f>$B6*Inputs!$B$15*Inputs!$B$16*Curves!$E$5</f>
        <v>26735.03243</v>
      </c>
      <c r="E6" s="12">
        <f>$B6*Inputs!$B$15*Inputs!$B$16*Curves!$E$6</f>
        <v>29417.48078</v>
      </c>
      <c r="F6" s="12">
        <f>$B6*Inputs!$B$15*Inputs!$B$16*Curves!$E$7</f>
        <v>16512.12585</v>
      </c>
      <c r="G6" s="12">
        <f>$B6*Inputs!$B$15*Inputs!$B$16*Curves!$E$8</f>
        <v>17818.24352</v>
      </c>
      <c r="H6" s="12">
        <f>$B6*Inputs!$B$15*Inputs!$B$16*Curves!$E$9</f>
        <v>17904.82156</v>
      </c>
      <c r="I6" s="12">
        <f>$B6*Inputs!$B$15*Inputs!$B$16*Curves!$E$10</f>
        <v>13187.17989</v>
      </c>
      <c r="J6" s="12">
        <f>$B6*Inputs!$B$15*Inputs!$B$16*Curves!$E$11</f>
        <v>17359.7967</v>
      </c>
      <c r="K6" s="12">
        <f>$B6*Inputs!$B$15*Inputs!$B$16*Curves!$E$12</f>
        <v>7619.069186</v>
      </c>
      <c r="L6" s="12">
        <f>$B6*Inputs!$B$15*Inputs!$B$16*Curves!$E$13</f>
        <v>4924.908111</v>
      </c>
      <c r="M6" s="12">
        <f>$B6*Inputs!$B$15*Inputs!$B$16*Curves!$E$14</f>
        <v>7396.341994</v>
      </c>
      <c r="N6" s="12">
        <f>$B6*Inputs!$B$15*Inputs!$B$16*Curves!$E$15</f>
        <v>3875</v>
      </c>
      <c r="O6" s="12">
        <f>$B6*Inputs!$B$15*Inputs!$B$16*Curves!$E$16</f>
        <v>3875</v>
      </c>
      <c r="P6" s="12">
        <f>$B6*Inputs!$B$15*Inputs!$B$16*Curves!$E$17</f>
        <v>3875</v>
      </c>
      <c r="Q6" s="12">
        <f>$B6*Inputs!$B$15*Inputs!$B$16*Curves!$E$18</f>
        <v>968.75</v>
      </c>
      <c r="R6" s="12">
        <f>$B6*Inputs!$B$15*Inputs!$B$16*Curves!$E$19</f>
        <v>968.75</v>
      </c>
      <c r="S6" s="12">
        <f>$B6*Inputs!$B$15*Inputs!$B$16*Curves!$E$20</f>
        <v>968.75</v>
      </c>
      <c r="T6" s="12">
        <f>$B6*Inputs!$B$15*Inputs!$B$16*Curves!$E$21</f>
        <v>968.75</v>
      </c>
      <c r="U6" s="12">
        <f>$B6*Inputs!$B$15*Inputs!$B$16*Curves!$E$22</f>
        <v>968.75</v>
      </c>
      <c r="V6" s="12">
        <f>$B6*Inputs!$B$15*Inputs!$B$16*Curves!$E$23</f>
        <v>968.75</v>
      </c>
      <c r="W6" s="12">
        <f>$B6*Inputs!$B$15*Inputs!$B$16*Curves!$E$24</f>
        <v>968.75</v>
      </c>
      <c r="X6" s="12">
        <f>$B6*Inputs!$B$15*Inputs!$B$16*Curves!$E$25</f>
        <v>968.75</v>
      </c>
      <c r="Y6" s="12">
        <f>$B6*Inputs!$B$15*Inputs!$B$16*Curves!$E$26</f>
        <v>968.75</v>
      </c>
      <c r="Z6" s="12">
        <f>$B6*Inputs!$B$15*Inputs!$B$16*Curves!$E$27</f>
        <v>968.75</v>
      </c>
      <c r="AA6" s="12">
        <f>$B6*Inputs!$B$15*Inputs!$B$16*Curves!$E$28</f>
        <v>968.75</v>
      </c>
      <c r="AB6" s="12">
        <f>$B6*Inputs!$B$15*Inputs!$B$16*Curves!$E$29</f>
        <v>968.75</v>
      </c>
      <c r="AC6" s="12">
        <f>$B6*Inputs!$B$15*Inputs!$B$16*Curves!$E$30</f>
        <v>968.75</v>
      </c>
      <c r="AD6" s="12">
        <f>$B6*Inputs!$B$15*Inputs!$B$16*Curves!$E$31</f>
        <v>968.75</v>
      </c>
      <c r="AE6" s="12">
        <f>$B6*Inputs!$B$15*Inputs!$B$16*Curves!$E$32</f>
        <v>968.75</v>
      </c>
      <c r="AF6" s="12">
        <f>$B6*Inputs!$B$15*Inputs!$B$16*Curves!$E$33</f>
        <v>968.75</v>
      </c>
      <c r="AG6" s="12">
        <f>$B6*Inputs!$B$15*Inputs!$B$16*Curves!$E$34</f>
        <v>968.75</v>
      </c>
      <c r="AH6" s="12">
        <f>$B6*Inputs!$B$15*Inputs!$B$16*Curves!$E$35</f>
        <v>968.75</v>
      </c>
      <c r="AI6" s="12">
        <f>$B6*Inputs!$B$15*Inputs!$B$16*Curves!$E$36</f>
        <v>968.75</v>
      </c>
      <c r="AJ6" s="12">
        <f>$B6*Inputs!$B$15*Inputs!$B$16*Curves!$E$37</f>
        <v>968.75</v>
      </c>
      <c r="AK6" s="12">
        <f>$B6*Inputs!$B$15*Inputs!$B$16*Curves!$E$38</f>
        <v>968.75</v>
      </c>
      <c r="AL6" s="12">
        <f>$B6*Inputs!$B$15*Inputs!$B$16*Curves!$E$39</f>
        <v>968.75</v>
      </c>
    </row>
    <row r="7">
      <c r="A7" s="3" t="str">
        <f>Acquisition_Plan!A6</f>
        <v>2026-04-02</v>
      </c>
      <c r="B7" s="12">
        <f>Acquisition_Plan!D6+Acquisition_Plan!F6+Acquisition_Plan!E6</f>
        <v>300000</v>
      </c>
      <c r="C7" s="12">
        <v>0.0</v>
      </c>
      <c r="D7" s="12">
        <v>0.0</v>
      </c>
      <c r="E7" s="12">
        <f>$B7*Inputs!$B$15*Inputs!$B$16*Curves!$E$5</f>
        <v>32082.03891</v>
      </c>
      <c r="F7" s="12">
        <f>$B7*Inputs!$B$15*Inputs!$B$16*Curves!$E$6</f>
        <v>35300.97693</v>
      </c>
      <c r="G7" s="12">
        <f>$B7*Inputs!$B$15*Inputs!$B$16*Curves!$E$7</f>
        <v>19814.55102</v>
      </c>
      <c r="H7" s="12">
        <f>$B7*Inputs!$B$15*Inputs!$B$16*Curves!$E$8</f>
        <v>21381.89222</v>
      </c>
      <c r="I7" s="12">
        <f>$B7*Inputs!$B$15*Inputs!$B$16*Curves!$E$9</f>
        <v>21485.78587</v>
      </c>
      <c r="J7" s="12">
        <f>$B7*Inputs!$B$15*Inputs!$B$16*Curves!$E$10</f>
        <v>15824.61587</v>
      </c>
      <c r="K7" s="12">
        <f>$B7*Inputs!$B$15*Inputs!$B$16*Curves!$E$11</f>
        <v>20831.75604</v>
      </c>
      <c r="L7" s="12">
        <f>$B7*Inputs!$B$15*Inputs!$B$16*Curves!$E$12</f>
        <v>9142.883023</v>
      </c>
      <c r="M7" s="12">
        <f>$B7*Inputs!$B$15*Inputs!$B$16*Curves!$E$13</f>
        <v>5909.889733</v>
      </c>
      <c r="N7" s="12">
        <f>$B7*Inputs!$B$15*Inputs!$B$16*Curves!$E$14</f>
        <v>8875.610393</v>
      </c>
      <c r="O7" s="12">
        <f>$B7*Inputs!$B$15*Inputs!$B$16*Curves!$E$15</f>
        <v>4650</v>
      </c>
      <c r="P7" s="12">
        <f>$B7*Inputs!$B$15*Inputs!$B$16*Curves!$E$16</f>
        <v>4650</v>
      </c>
      <c r="Q7" s="12">
        <f>$B7*Inputs!$B$15*Inputs!$B$16*Curves!$E$17</f>
        <v>4650</v>
      </c>
      <c r="R7" s="12">
        <f>$B7*Inputs!$B$15*Inputs!$B$16*Curves!$E$18</f>
        <v>1162.5</v>
      </c>
      <c r="S7" s="12">
        <f>$B7*Inputs!$B$15*Inputs!$B$16*Curves!$E$19</f>
        <v>1162.5</v>
      </c>
      <c r="T7" s="12">
        <f>$B7*Inputs!$B$15*Inputs!$B$16*Curves!$E$20</f>
        <v>1162.5</v>
      </c>
      <c r="U7" s="12">
        <f>$B7*Inputs!$B$15*Inputs!$B$16*Curves!$E$21</f>
        <v>1162.5</v>
      </c>
      <c r="V7" s="12">
        <f>$B7*Inputs!$B$15*Inputs!$B$16*Curves!$E$22</f>
        <v>1162.5</v>
      </c>
      <c r="W7" s="12">
        <f>$B7*Inputs!$B$15*Inputs!$B$16*Curves!$E$23</f>
        <v>1162.5</v>
      </c>
      <c r="X7" s="12">
        <f>$B7*Inputs!$B$15*Inputs!$B$16*Curves!$E$24</f>
        <v>1162.5</v>
      </c>
      <c r="Y7" s="12">
        <f>$B7*Inputs!$B$15*Inputs!$B$16*Curves!$E$25</f>
        <v>1162.5</v>
      </c>
      <c r="Z7" s="12">
        <f>$B7*Inputs!$B$15*Inputs!$B$16*Curves!$E$26</f>
        <v>1162.5</v>
      </c>
      <c r="AA7" s="12">
        <f>$B7*Inputs!$B$15*Inputs!$B$16*Curves!$E$27</f>
        <v>1162.5</v>
      </c>
      <c r="AB7" s="12">
        <f>$B7*Inputs!$B$15*Inputs!$B$16*Curves!$E$28</f>
        <v>1162.5</v>
      </c>
      <c r="AC7" s="12">
        <f>$B7*Inputs!$B$15*Inputs!$B$16*Curves!$E$29</f>
        <v>1162.5</v>
      </c>
      <c r="AD7" s="12">
        <f>$B7*Inputs!$B$15*Inputs!$B$16*Curves!$E$30</f>
        <v>1162.5</v>
      </c>
      <c r="AE7" s="12">
        <f>$B7*Inputs!$B$15*Inputs!$B$16*Curves!$E$31</f>
        <v>1162.5</v>
      </c>
      <c r="AF7" s="12">
        <f>$B7*Inputs!$B$15*Inputs!$B$16*Curves!$E$32</f>
        <v>1162.5</v>
      </c>
      <c r="AG7" s="12">
        <f>$B7*Inputs!$B$15*Inputs!$B$16*Curves!$E$33</f>
        <v>1162.5</v>
      </c>
      <c r="AH7" s="12">
        <f>$B7*Inputs!$B$15*Inputs!$B$16*Curves!$E$34</f>
        <v>1162.5</v>
      </c>
      <c r="AI7" s="12">
        <f>$B7*Inputs!$B$15*Inputs!$B$16*Curves!$E$35</f>
        <v>1162.5</v>
      </c>
      <c r="AJ7" s="12">
        <f>$B7*Inputs!$B$15*Inputs!$B$16*Curves!$E$36</f>
        <v>1162.5</v>
      </c>
      <c r="AK7" s="12">
        <f>$B7*Inputs!$B$15*Inputs!$B$16*Curves!$E$37</f>
        <v>1162.5</v>
      </c>
      <c r="AL7" s="12">
        <f>$B7*Inputs!$B$15*Inputs!$B$16*Curves!$E$38</f>
        <v>1162.5</v>
      </c>
    </row>
    <row r="8">
      <c r="A8" s="3" t="str">
        <f>Acquisition_Plan!A7</f>
        <v>2026-05-02</v>
      </c>
      <c r="B8" s="12">
        <f>Acquisition_Plan!D7+Acquisition_Plan!F7+Acquisition_Plan!E7</f>
        <v>300000</v>
      </c>
      <c r="C8" s="12">
        <v>0.0</v>
      </c>
      <c r="D8" s="12">
        <v>0.0</v>
      </c>
      <c r="E8" s="12">
        <v>0.0</v>
      </c>
      <c r="F8" s="12">
        <f>$B8*Inputs!$B$15*Inputs!$B$16*Curves!$E$5</f>
        <v>32082.03891</v>
      </c>
      <c r="G8" s="12">
        <f>$B8*Inputs!$B$15*Inputs!$B$16*Curves!$E$6</f>
        <v>35300.97693</v>
      </c>
      <c r="H8" s="12">
        <f>$B8*Inputs!$B$15*Inputs!$B$16*Curves!$E$7</f>
        <v>19814.55102</v>
      </c>
      <c r="I8" s="12">
        <f>$B8*Inputs!$B$15*Inputs!$B$16*Curves!$E$8</f>
        <v>21381.89222</v>
      </c>
      <c r="J8" s="12">
        <f>$B8*Inputs!$B$15*Inputs!$B$16*Curves!$E$9</f>
        <v>21485.78587</v>
      </c>
      <c r="K8" s="12">
        <f>$B8*Inputs!$B$15*Inputs!$B$16*Curves!$E$10</f>
        <v>15824.61587</v>
      </c>
      <c r="L8" s="12">
        <f>$B8*Inputs!$B$15*Inputs!$B$16*Curves!$E$11</f>
        <v>20831.75604</v>
      </c>
      <c r="M8" s="12">
        <f>$B8*Inputs!$B$15*Inputs!$B$16*Curves!$E$12</f>
        <v>9142.883023</v>
      </c>
      <c r="N8" s="12">
        <f>$B8*Inputs!$B$15*Inputs!$B$16*Curves!$E$13</f>
        <v>5909.889733</v>
      </c>
      <c r="O8" s="12">
        <f>$B8*Inputs!$B$15*Inputs!$B$16*Curves!$E$14</f>
        <v>8875.610393</v>
      </c>
      <c r="P8" s="12">
        <f>$B8*Inputs!$B$15*Inputs!$B$16*Curves!$E$15</f>
        <v>4650</v>
      </c>
      <c r="Q8" s="12">
        <f>$B8*Inputs!$B$15*Inputs!$B$16*Curves!$E$16</f>
        <v>4650</v>
      </c>
      <c r="R8" s="12">
        <f>$B8*Inputs!$B$15*Inputs!$B$16*Curves!$E$17</f>
        <v>4650</v>
      </c>
      <c r="S8" s="12">
        <f>$B8*Inputs!$B$15*Inputs!$B$16*Curves!$E$18</f>
        <v>1162.5</v>
      </c>
      <c r="T8" s="12">
        <f>$B8*Inputs!$B$15*Inputs!$B$16*Curves!$E$19</f>
        <v>1162.5</v>
      </c>
      <c r="U8" s="12">
        <f>$B8*Inputs!$B$15*Inputs!$B$16*Curves!$E$20</f>
        <v>1162.5</v>
      </c>
      <c r="V8" s="12">
        <f>$B8*Inputs!$B$15*Inputs!$B$16*Curves!$E$21</f>
        <v>1162.5</v>
      </c>
      <c r="W8" s="12">
        <f>$B8*Inputs!$B$15*Inputs!$B$16*Curves!$E$22</f>
        <v>1162.5</v>
      </c>
      <c r="X8" s="12">
        <f>$B8*Inputs!$B$15*Inputs!$B$16*Curves!$E$23</f>
        <v>1162.5</v>
      </c>
      <c r="Y8" s="12">
        <f>$B8*Inputs!$B$15*Inputs!$B$16*Curves!$E$24</f>
        <v>1162.5</v>
      </c>
      <c r="Z8" s="12">
        <f>$B8*Inputs!$B$15*Inputs!$B$16*Curves!$E$25</f>
        <v>1162.5</v>
      </c>
      <c r="AA8" s="12">
        <f>$B8*Inputs!$B$15*Inputs!$B$16*Curves!$E$26</f>
        <v>1162.5</v>
      </c>
      <c r="AB8" s="12">
        <f>$B8*Inputs!$B$15*Inputs!$B$16*Curves!$E$27</f>
        <v>1162.5</v>
      </c>
      <c r="AC8" s="12">
        <f>$B8*Inputs!$B$15*Inputs!$B$16*Curves!$E$28</f>
        <v>1162.5</v>
      </c>
      <c r="AD8" s="12">
        <f>$B8*Inputs!$B$15*Inputs!$B$16*Curves!$E$29</f>
        <v>1162.5</v>
      </c>
      <c r="AE8" s="12">
        <f>$B8*Inputs!$B$15*Inputs!$B$16*Curves!$E$30</f>
        <v>1162.5</v>
      </c>
      <c r="AF8" s="12">
        <f>$B8*Inputs!$B$15*Inputs!$B$16*Curves!$E$31</f>
        <v>1162.5</v>
      </c>
      <c r="AG8" s="12">
        <f>$B8*Inputs!$B$15*Inputs!$B$16*Curves!$E$32</f>
        <v>1162.5</v>
      </c>
      <c r="AH8" s="12">
        <f>$B8*Inputs!$B$15*Inputs!$B$16*Curves!$E$33</f>
        <v>1162.5</v>
      </c>
      <c r="AI8" s="12">
        <f>$B8*Inputs!$B$15*Inputs!$B$16*Curves!$E$34</f>
        <v>1162.5</v>
      </c>
      <c r="AJ8" s="12">
        <f>$B8*Inputs!$B$15*Inputs!$B$16*Curves!$E$35</f>
        <v>1162.5</v>
      </c>
      <c r="AK8" s="12">
        <f>$B8*Inputs!$B$15*Inputs!$B$16*Curves!$E$36</f>
        <v>1162.5</v>
      </c>
      <c r="AL8" s="12">
        <f>$B8*Inputs!$B$15*Inputs!$B$16*Curves!$E$37</f>
        <v>1162.5</v>
      </c>
    </row>
    <row r="9">
      <c r="A9" s="3" t="str">
        <f>Acquisition_Plan!A8</f>
        <v>2026-06-01</v>
      </c>
      <c r="B9" s="12">
        <f>Acquisition_Plan!D8+Acquisition_Plan!F8+Acquisition_Plan!E8</f>
        <v>400000</v>
      </c>
      <c r="C9" s="12">
        <v>0.0</v>
      </c>
      <c r="D9" s="12">
        <v>0.0</v>
      </c>
      <c r="E9" s="12">
        <v>0.0</v>
      </c>
      <c r="F9" s="12">
        <v>0.0</v>
      </c>
      <c r="G9" s="12">
        <f>$B9*Inputs!$B$15*Inputs!$B$16*Curves!$E$5</f>
        <v>42776.05188</v>
      </c>
      <c r="H9" s="12">
        <f>$B9*Inputs!$B$15*Inputs!$B$16*Curves!$E$6</f>
        <v>47067.96924</v>
      </c>
      <c r="I9" s="12">
        <f>$B9*Inputs!$B$15*Inputs!$B$16*Curves!$E$7</f>
        <v>26419.40135</v>
      </c>
      <c r="J9" s="12">
        <f>$B9*Inputs!$B$15*Inputs!$B$16*Curves!$E$8</f>
        <v>28509.18963</v>
      </c>
      <c r="K9" s="12">
        <f>$B9*Inputs!$B$15*Inputs!$B$16*Curves!$E$9</f>
        <v>28647.71449</v>
      </c>
      <c r="L9" s="12">
        <f>$B9*Inputs!$B$15*Inputs!$B$16*Curves!$E$10</f>
        <v>21099.48782</v>
      </c>
      <c r="M9" s="12">
        <f>$B9*Inputs!$B$15*Inputs!$B$16*Curves!$E$11</f>
        <v>27775.67472</v>
      </c>
      <c r="N9" s="12">
        <f>$B9*Inputs!$B$15*Inputs!$B$16*Curves!$E$12</f>
        <v>12190.5107</v>
      </c>
      <c r="O9" s="12">
        <f>$B9*Inputs!$B$15*Inputs!$B$16*Curves!$E$13</f>
        <v>7879.852977</v>
      </c>
      <c r="P9" s="12">
        <f>$B9*Inputs!$B$15*Inputs!$B$16*Curves!$E$14</f>
        <v>11834.14719</v>
      </c>
      <c r="Q9" s="12">
        <f>$B9*Inputs!$B$15*Inputs!$B$16*Curves!$E$15</f>
        <v>6200</v>
      </c>
      <c r="R9" s="12">
        <f>$B9*Inputs!$B$15*Inputs!$B$16*Curves!$E$16</f>
        <v>6200</v>
      </c>
      <c r="S9" s="12">
        <f>$B9*Inputs!$B$15*Inputs!$B$16*Curves!$E$17</f>
        <v>6200</v>
      </c>
      <c r="T9" s="12">
        <f>$B9*Inputs!$B$15*Inputs!$B$16*Curves!$E$18</f>
        <v>1550</v>
      </c>
      <c r="U9" s="12">
        <f>$B9*Inputs!$B$15*Inputs!$B$16*Curves!$E$19</f>
        <v>1550</v>
      </c>
      <c r="V9" s="12">
        <f>$B9*Inputs!$B$15*Inputs!$B$16*Curves!$E$20</f>
        <v>1550</v>
      </c>
      <c r="W9" s="12">
        <f>$B9*Inputs!$B$15*Inputs!$B$16*Curves!$E$21</f>
        <v>1550</v>
      </c>
      <c r="X9" s="12">
        <f>$B9*Inputs!$B$15*Inputs!$B$16*Curves!$E$22</f>
        <v>1550</v>
      </c>
      <c r="Y9" s="12">
        <f>$B9*Inputs!$B$15*Inputs!$B$16*Curves!$E$23</f>
        <v>1550</v>
      </c>
      <c r="Z9" s="12">
        <f>$B9*Inputs!$B$15*Inputs!$B$16*Curves!$E$24</f>
        <v>1550</v>
      </c>
      <c r="AA9" s="12">
        <f>$B9*Inputs!$B$15*Inputs!$B$16*Curves!$E$25</f>
        <v>1550</v>
      </c>
      <c r="AB9" s="12">
        <f>$B9*Inputs!$B$15*Inputs!$B$16*Curves!$E$26</f>
        <v>1550</v>
      </c>
      <c r="AC9" s="12">
        <f>$B9*Inputs!$B$15*Inputs!$B$16*Curves!$E$27</f>
        <v>1550</v>
      </c>
      <c r="AD9" s="12">
        <f>$B9*Inputs!$B$15*Inputs!$B$16*Curves!$E$28</f>
        <v>1550</v>
      </c>
      <c r="AE9" s="12">
        <f>$B9*Inputs!$B$15*Inputs!$B$16*Curves!$E$29</f>
        <v>1550</v>
      </c>
      <c r="AF9" s="12">
        <f>$B9*Inputs!$B$15*Inputs!$B$16*Curves!$E$30</f>
        <v>1550</v>
      </c>
      <c r="AG9" s="12">
        <f>$B9*Inputs!$B$15*Inputs!$B$16*Curves!$E$31</f>
        <v>1550</v>
      </c>
      <c r="AH9" s="12">
        <f>$B9*Inputs!$B$15*Inputs!$B$16*Curves!$E$32</f>
        <v>1550</v>
      </c>
      <c r="AI9" s="12">
        <f>$B9*Inputs!$B$15*Inputs!$B$16*Curves!$E$33</f>
        <v>1550</v>
      </c>
      <c r="AJ9" s="12">
        <f>$B9*Inputs!$B$15*Inputs!$B$16*Curves!$E$34</f>
        <v>1550</v>
      </c>
      <c r="AK9" s="12">
        <f>$B9*Inputs!$B$15*Inputs!$B$16*Curves!$E$35</f>
        <v>1550</v>
      </c>
      <c r="AL9" s="12">
        <f>$B9*Inputs!$B$15*Inputs!$B$16*Curves!$E$36</f>
        <v>1550</v>
      </c>
    </row>
    <row r="10">
      <c r="A10" s="3" t="str">
        <f>Acquisition_Plan!A9</f>
        <v>2026-07-01</v>
      </c>
      <c r="B10" s="12">
        <f>Acquisition_Plan!D9+Acquisition_Plan!F9+Acquisition_Plan!E9</f>
        <v>400000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f>$B10*Inputs!$B$15*Inputs!$B$16*Curves!$E$5</f>
        <v>42776.05188</v>
      </c>
      <c r="I10" s="12">
        <f>$B10*Inputs!$B$15*Inputs!$B$16*Curves!$E$6</f>
        <v>47067.96924</v>
      </c>
      <c r="J10" s="12">
        <f>$B10*Inputs!$B$15*Inputs!$B$16*Curves!$E$7</f>
        <v>26419.40135</v>
      </c>
      <c r="K10" s="12">
        <f>$B10*Inputs!$B$15*Inputs!$B$16*Curves!$E$8</f>
        <v>28509.18963</v>
      </c>
      <c r="L10" s="12">
        <f>$B10*Inputs!$B$15*Inputs!$B$16*Curves!$E$9</f>
        <v>28647.71449</v>
      </c>
      <c r="M10" s="12">
        <f>$B10*Inputs!$B$15*Inputs!$B$16*Curves!$E$10</f>
        <v>21099.48782</v>
      </c>
      <c r="N10" s="12">
        <f>$B10*Inputs!$B$15*Inputs!$B$16*Curves!$E$11</f>
        <v>27775.67472</v>
      </c>
      <c r="O10" s="12">
        <f>$B10*Inputs!$B$15*Inputs!$B$16*Curves!$E$12</f>
        <v>12190.5107</v>
      </c>
      <c r="P10" s="12">
        <f>$B10*Inputs!$B$15*Inputs!$B$16*Curves!$E$13</f>
        <v>7879.852977</v>
      </c>
      <c r="Q10" s="12">
        <f>$B10*Inputs!$B$15*Inputs!$B$16*Curves!$E$14</f>
        <v>11834.14719</v>
      </c>
      <c r="R10" s="12">
        <f>$B10*Inputs!$B$15*Inputs!$B$16*Curves!$E$15</f>
        <v>6200</v>
      </c>
      <c r="S10" s="12">
        <f>$B10*Inputs!$B$15*Inputs!$B$16*Curves!$E$16</f>
        <v>6200</v>
      </c>
      <c r="T10" s="12">
        <f>$B10*Inputs!$B$15*Inputs!$B$16*Curves!$E$17</f>
        <v>6200</v>
      </c>
      <c r="U10" s="12">
        <f>$B10*Inputs!$B$15*Inputs!$B$16*Curves!$E$18</f>
        <v>1550</v>
      </c>
      <c r="V10" s="12">
        <f>$B10*Inputs!$B$15*Inputs!$B$16*Curves!$E$19</f>
        <v>1550</v>
      </c>
      <c r="W10" s="12">
        <f>$B10*Inputs!$B$15*Inputs!$B$16*Curves!$E$20</f>
        <v>1550</v>
      </c>
      <c r="X10" s="12">
        <f>$B10*Inputs!$B$15*Inputs!$B$16*Curves!$E$21</f>
        <v>1550</v>
      </c>
      <c r="Y10" s="12">
        <f>$B10*Inputs!$B$15*Inputs!$B$16*Curves!$E$22</f>
        <v>1550</v>
      </c>
      <c r="Z10" s="12">
        <f>$B10*Inputs!$B$15*Inputs!$B$16*Curves!$E$23</f>
        <v>1550</v>
      </c>
      <c r="AA10" s="12">
        <f>$B10*Inputs!$B$15*Inputs!$B$16*Curves!$E$24</f>
        <v>1550</v>
      </c>
      <c r="AB10" s="12">
        <f>$B10*Inputs!$B$15*Inputs!$B$16*Curves!$E$25</f>
        <v>1550</v>
      </c>
      <c r="AC10" s="12">
        <f>$B10*Inputs!$B$15*Inputs!$B$16*Curves!$E$26</f>
        <v>1550</v>
      </c>
      <c r="AD10" s="12">
        <f>$B10*Inputs!$B$15*Inputs!$B$16*Curves!$E$27</f>
        <v>1550</v>
      </c>
      <c r="AE10" s="12">
        <f>$B10*Inputs!$B$15*Inputs!$B$16*Curves!$E$28</f>
        <v>1550</v>
      </c>
      <c r="AF10" s="12">
        <f>$B10*Inputs!$B$15*Inputs!$B$16*Curves!$E$29</f>
        <v>1550</v>
      </c>
      <c r="AG10" s="12">
        <f>$B10*Inputs!$B$15*Inputs!$B$16*Curves!$E$30</f>
        <v>1550</v>
      </c>
      <c r="AH10" s="12">
        <f>$B10*Inputs!$B$15*Inputs!$B$16*Curves!$E$31</f>
        <v>1550</v>
      </c>
      <c r="AI10" s="12">
        <f>$B10*Inputs!$B$15*Inputs!$B$16*Curves!$E$32</f>
        <v>1550</v>
      </c>
      <c r="AJ10" s="12">
        <f>$B10*Inputs!$B$15*Inputs!$B$16*Curves!$E$33</f>
        <v>1550</v>
      </c>
      <c r="AK10" s="12">
        <f>$B10*Inputs!$B$15*Inputs!$B$16*Curves!$E$34</f>
        <v>1550</v>
      </c>
      <c r="AL10" s="12">
        <f>$B10*Inputs!$B$15*Inputs!$B$16*Curves!$E$35</f>
        <v>1550</v>
      </c>
    </row>
    <row r="11">
      <c r="A11" s="3" t="str">
        <f>Acquisition_Plan!A10</f>
        <v>2026-07-31</v>
      </c>
      <c r="B11" s="12">
        <f>Acquisition_Plan!D10+Acquisition_Plan!F10+Acquisition_Plan!E10</f>
        <v>500000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f>$B11*Inputs!$B$15*Inputs!$B$16*Curves!$E$5</f>
        <v>53470.06485</v>
      </c>
      <c r="J11" s="12">
        <f>$B11*Inputs!$B$15*Inputs!$B$16*Curves!$E$6</f>
        <v>58834.96155</v>
      </c>
      <c r="K11" s="12">
        <f>$B11*Inputs!$B$15*Inputs!$B$16*Curves!$E$7</f>
        <v>33024.25169</v>
      </c>
      <c r="L11" s="12">
        <f>$B11*Inputs!$B$15*Inputs!$B$16*Curves!$E$8</f>
        <v>35636.48704</v>
      </c>
      <c r="M11" s="12">
        <f>$B11*Inputs!$B$15*Inputs!$B$16*Curves!$E$9</f>
        <v>35809.64311</v>
      </c>
      <c r="N11" s="12">
        <f>$B11*Inputs!$B$15*Inputs!$B$16*Curves!$E$10</f>
        <v>26374.35978</v>
      </c>
      <c r="O11" s="12">
        <f>$B11*Inputs!$B$15*Inputs!$B$16*Curves!$E$11</f>
        <v>34719.5934</v>
      </c>
      <c r="P11" s="12">
        <f>$B11*Inputs!$B$15*Inputs!$B$16*Curves!$E$12</f>
        <v>15238.13837</v>
      </c>
      <c r="Q11" s="12">
        <f>$B11*Inputs!$B$15*Inputs!$B$16*Curves!$E$13</f>
        <v>9849.816222</v>
      </c>
      <c r="R11" s="12">
        <f>$B11*Inputs!$B$15*Inputs!$B$16*Curves!$E$14</f>
        <v>14792.68399</v>
      </c>
      <c r="S11" s="12">
        <f>$B11*Inputs!$B$15*Inputs!$B$16*Curves!$E$15</f>
        <v>7750</v>
      </c>
      <c r="T11" s="12">
        <f>$B11*Inputs!$B$15*Inputs!$B$16*Curves!$E$16</f>
        <v>7750</v>
      </c>
      <c r="U11" s="12">
        <f>$B11*Inputs!$B$15*Inputs!$B$16*Curves!$E$17</f>
        <v>7750</v>
      </c>
      <c r="V11" s="12">
        <f>$B11*Inputs!$B$15*Inputs!$B$16*Curves!$E$18</f>
        <v>1937.5</v>
      </c>
      <c r="W11" s="12">
        <f>$B11*Inputs!$B$15*Inputs!$B$16*Curves!$E$19</f>
        <v>1937.5</v>
      </c>
      <c r="X11" s="12">
        <f>$B11*Inputs!$B$15*Inputs!$B$16*Curves!$E$20</f>
        <v>1937.5</v>
      </c>
      <c r="Y11" s="12">
        <f>$B11*Inputs!$B$15*Inputs!$B$16*Curves!$E$21</f>
        <v>1937.5</v>
      </c>
      <c r="Z11" s="12">
        <f>$B11*Inputs!$B$15*Inputs!$B$16*Curves!$E$22</f>
        <v>1937.5</v>
      </c>
      <c r="AA11" s="12">
        <f>$B11*Inputs!$B$15*Inputs!$B$16*Curves!$E$23</f>
        <v>1937.5</v>
      </c>
      <c r="AB11" s="12">
        <f>$B11*Inputs!$B$15*Inputs!$B$16*Curves!$E$24</f>
        <v>1937.5</v>
      </c>
      <c r="AC11" s="12">
        <f>$B11*Inputs!$B$15*Inputs!$B$16*Curves!$E$25</f>
        <v>1937.5</v>
      </c>
      <c r="AD11" s="12">
        <f>$B11*Inputs!$B$15*Inputs!$B$16*Curves!$E$26</f>
        <v>1937.5</v>
      </c>
      <c r="AE11" s="12">
        <f>$B11*Inputs!$B$15*Inputs!$B$16*Curves!$E$27</f>
        <v>1937.5</v>
      </c>
      <c r="AF11" s="12">
        <f>$B11*Inputs!$B$15*Inputs!$B$16*Curves!$E$28</f>
        <v>1937.5</v>
      </c>
      <c r="AG11" s="12">
        <f>$B11*Inputs!$B$15*Inputs!$B$16*Curves!$E$29</f>
        <v>1937.5</v>
      </c>
      <c r="AH11" s="12">
        <f>$B11*Inputs!$B$15*Inputs!$B$16*Curves!$E$30</f>
        <v>1937.5</v>
      </c>
      <c r="AI11" s="12">
        <f>$B11*Inputs!$B$15*Inputs!$B$16*Curves!$E$31</f>
        <v>1937.5</v>
      </c>
      <c r="AJ11" s="12">
        <f>$B11*Inputs!$B$15*Inputs!$B$16*Curves!$E$32</f>
        <v>1937.5</v>
      </c>
      <c r="AK11" s="12">
        <f>$B11*Inputs!$B$15*Inputs!$B$16*Curves!$E$33</f>
        <v>1937.5</v>
      </c>
      <c r="AL11" s="12">
        <f>$B11*Inputs!$B$15*Inputs!$B$16*Curves!$E$34</f>
        <v>1937.5</v>
      </c>
    </row>
    <row r="12">
      <c r="A12" s="3" t="str">
        <f>Acquisition_Plan!A11</f>
        <v>2026-08-30</v>
      </c>
      <c r="B12" s="12">
        <f>Acquisition_Plan!D11+Acquisition_Plan!F11+Acquisition_Plan!E11</f>
        <v>500000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2">
        <v>0.0</v>
      </c>
      <c r="I12" s="12">
        <v>0.0</v>
      </c>
      <c r="J12" s="12">
        <f>$B12*Inputs!$B$15*Inputs!$B$16*Curves!$E$5</f>
        <v>53470.06485</v>
      </c>
      <c r="K12" s="12">
        <f>$B12*Inputs!$B$15*Inputs!$B$16*Curves!$E$6</f>
        <v>58834.96155</v>
      </c>
      <c r="L12" s="12">
        <f>$B12*Inputs!$B$15*Inputs!$B$16*Curves!$E$7</f>
        <v>33024.25169</v>
      </c>
      <c r="M12" s="12">
        <f>$B12*Inputs!$B$15*Inputs!$B$16*Curves!$E$8</f>
        <v>35636.48704</v>
      </c>
      <c r="N12" s="12">
        <f>$B12*Inputs!$B$15*Inputs!$B$16*Curves!$E$9</f>
        <v>35809.64311</v>
      </c>
      <c r="O12" s="12">
        <f>$B12*Inputs!$B$15*Inputs!$B$16*Curves!$E$10</f>
        <v>26374.35978</v>
      </c>
      <c r="P12" s="12">
        <f>$B12*Inputs!$B$15*Inputs!$B$16*Curves!$E$11</f>
        <v>34719.5934</v>
      </c>
      <c r="Q12" s="12">
        <f>$B12*Inputs!$B$15*Inputs!$B$16*Curves!$E$12</f>
        <v>15238.13837</v>
      </c>
      <c r="R12" s="12">
        <f>$B12*Inputs!$B$15*Inputs!$B$16*Curves!$E$13</f>
        <v>9849.816222</v>
      </c>
      <c r="S12" s="12">
        <f>$B12*Inputs!$B$15*Inputs!$B$16*Curves!$E$14</f>
        <v>14792.68399</v>
      </c>
      <c r="T12" s="12">
        <f>$B12*Inputs!$B$15*Inputs!$B$16*Curves!$E$15</f>
        <v>7750</v>
      </c>
      <c r="U12" s="12">
        <f>$B12*Inputs!$B$15*Inputs!$B$16*Curves!$E$16</f>
        <v>7750</v>
      </c>
      <c r="V12" s="12">
        <f>$B12*Inputs!$B$15*Inputs!$B$16*Curves!$E$17</f>
        <v>7750</v>
      </c>
      <c r="W12" s="12">
        <f>$B12*Inputs!$B$15*Inputs!$B$16*Curves!$E$18</f>
        <v>1937.5</v>
      </c>
      <c r="X12" s="12">
        <f>$B12*Inputs!$B$15*Inputs!$B$16*Curves!$E$19</f>
        <v>1937.5</v>
      </c>
      <c r="Y12" s="12">
        <f>$B12*Inputs!$B$15*Inputs!$B$16*Curves!$E$20</f>
        <v>1937.5</v>
      </c>
      <c r="Z12" s="12">
        <f>$B12*Inputs!$B$15*Inputs!$B$16*Curves!$E$21</f>
        <v>1937.5</v>
      </c>
      <c r="AA12" s="12">
        <f>$B12*Inputs!$B$15*Inputs!$B$16*Curves!$E$22</f>
        <v>1937.5</v>
      </c>
      <c r="AB12" s="12">
        <f>$B12*Inputs!$B$15*Inputs!$B$16*Curves!$E$23</f>
        <v>1937.5</v>
      </c>
      <c r="AC12" s="12">
        <f>$B12*Inputs!$B$15*Inputs!$B$16*Curves!$E$24</f>
        <v>1937.5</v>
      </c>
      <c r="AD12" s="12">
        <f>$B12*Inputs!$B$15*Inputs!$B$16*Curves!$E$25</f>
        <v>1937.5</v>
      </c>
      <c r="AE12" s="12">
        <f>$B12*Inputs!$B$15*Inputs!$B$16*Curves!$E$26</f>
        <v>1937.5</v>
      </c>
      <c r="AF12" s="12">
        <f>$B12*Inputs!$B$15*Inputs!$B$16*Curves!$E$27</f>
        <v>1937.5</v>
      </c>
      <c r="AG12" s="12">
        <f>$B12*Inputs!$B$15*Inputs!$B$16*Curves!$E$28</f>
        <v>1937.5</v>
      </c>
      <c r="AH12" s="12">
        <f>$B12*Inputs!$B$15*Inputs!$B$16*Curves!$E$29</f>
        <v>1937.5</v>
      </c>
      <c r="AI12" s="12">
        <f>$B12*Inputs!$B$15*Inputs!$B$16*Curves!$E$30</f>
        <v>1937.5</v>
      </c>
      <c r="AJ12" s="12">
        <f>$B12*Inputs!$B$15*Inputs!$B$16*Curves!$E$31</f>
        <v>1937.5</v>
      </c>
      <c r="AK12" s="12">
        <f>$B12*Inputs!$B$15*Inputs!$B$16*Curves!$E$32</f>
        <v>1937.5</v>
      </c>
      <c r="AL12" s="12">
        <f>$B12*Inputs!$B$15*Inputs!$B$16*Curves!$E$33</f>
        <v>1937.5</v>
      </c>
    </row>
    <row r="13">
      <c r="A13" s="3" t="str">
        <f>Acquisition_Plan!A12</f>
        <v>2026-09-29</v>
      </c>
      <c r="B13" s="12">
        <f>Acquisition_Plan!D12+Acquisition_Plan!F12+Acquisition_Plan!E12</f>
        <v>600000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f>$B13*Inputs!$B$15*Inputs!$B$16*Curves!$E$5</f>
        <v>64164.07782</v>
      </c>
      <c r="L13" s="12">
        <f>$B13*Inputs!$B$15*Inputs!$B$16*Curves!$E$6</f>
        <v>70601.95386</v>
      </c>
      <c r="M13" s="12">
        <f>$B13*Inputs!$B$15*Inputs!$B$16*Curves!$E$7</f>
        <v>39629.10203</v>
      </c>
      <c r="N13" s="12">
        <f>$B13*Inputs!$B$15*Inputs!$B$16*Curves!$E$8</f>
        <v>42763.78444</v>
      </c>
      <c r="O13" s="12">
        <f>$B13*Inputs!$B$15*Inputs!$B$16*Curves!$E$9</f>
        <v>42971.57174</v>
      </c>
      <c r="P13" s="12">
        <f>$B13*Inputs!$B$15*Inputs!$B$16*Curves!$E$10</f>
        <v>31649.23173</v>
      </c>
      <c r="Q13" s="12">
        <f>$B13*Inputs!$B$15*Inputs!$B$16*Curves!$E$11</f>
        <v>41663.51207</v>
      </c>
      <c r="R13" s="12">
        <f>$B13*Inputs!$B$15*Inputs!$B$16*Curves!$E$12</f>
        <v>18285.76605</v>
      </c>
      <c r="S13" s="12">
        <f>$B13*Inputs!$B$15*Inputs!$B$16*Curves!$E$13</f>
        <v>11819.77947</v>
      </c>
      <c r="T13" s="12">
        <f>$B13*Inputs!$B$15*Inputs!$B$16*Curves!$E$14</f>
        <v>17751.22079</v>
      </c>
      <c r="U13" s="12">
        <f>$B13*Inputs!$B$15*Inputs!$B$16*Curves!$E$15</f>
        <v>9300</v>
      </c>
      <c r="V13" s="12">
        <f>$B13*Inputs!$B$15*Inputs!$B$16*Curves!$E$16</f>
        <v>9300</v>
      </c>
      <c r="W13" s="12">
        <f>$B13*Inputs!$B$15*Inputs!$B$16*Curves!$E$17</f>
        <v>9300</v>
      </c>
      <c r="X13" s="12">
        <f>$B13*Inputs!$B$15*Inputs!$B$16*Curves!$E$18</f>
        <v>2325</v>
      </c>
      <c r="Y13" s="12">
        <f>$B13*Inputs!$B$15*Inputs!$B$16*Curves!$E$19</f>
        <v>2325</v>
      </c>
      <c r="Z13" s="12">
        <f>$B13*Inputs!$B$15*Inputs!$B$16*Curves!$E$20</f>
        <v>2325</v>
      </c>
      <c r="AA13" s="12">
        <f>$B13*Inputs!$B$15*Inputs!$B$16*Curves!$E$21</f>
        <v>2325</v>
      </c>
      <c r="AB13" s="12">
        <f>$B13*Inputs!$B$15*Inputs!$B$16*Curves!$E$22</f>
        <v>2325</v>
      </c>
      <c r="AC13" s="12">
        <f>$B13*Inputs!$B$15*Inputs!$B$16*Curves!$E$23</f>
        <v>2325</v>
      </c>
      <c r="AD13" s="12">
        <f>$B13*Inputs!$B$15*Inputs!$B$16*Curves!$E$24</f>
        <v>2325</v>
      </c>
      <c r="AE13" s="12">
        <f>$B13*Inputs!$B$15*Inputs!$B$16*Curves!$E$25</f>
        <v>2325</v>
      </c>
      <c r="AF13" s="12">
        <f>$B13*Inputs!$B$15*Inputs!$B$16*Curves!$E$26</f>
        <v>2325</v>
      </c>
      <c r="AG13" s="12">
        <f>$B13*Inputs!$B$15*Inputs!$B$16*Curves!$E$27</f>
        <v>2325</v>
      </c>
      <c r="AH13" s="12">
        <f>$B13*Inputs!$B$15*Inputs!$B$16*Curves!$E$28</f>
        <v>2325</v>
      </c>
      <c r="AI13" s="12">
        <f>$B13*Inputs!$B$15*Inputs!$B$16*Curves!$E$29</f>
        <v>2325</v>
      </c>
      <c r="AJ13" s="12">
        <f>$B13*Inputs!$B$15*Inputs!$B$16*Curves!$E$30</f>
        <v>2325</v>
      </c>
      <c r="AK13" s="12">
        <f>$B13*Inputs!$B$15*Inputs!$B$16*Curves!$E$31</f>
        <v>2325</v>
      </c>
      <c r="AL13" s="12">
        <f>$B13*Inputs!$B$15*Inputs!$B$16*Curves!$E$32</f>
        <v>2325</v>
      </c>
    </row>
    <row r="14">
      <c r="A14" s="3" t="str">
        <f>Acquisition_Plan!A13</f>
        <v>2026-10-29</v>
      </c>
      <c r="B14" s="12">
        <f>Acquisition_Plan!D13+Acquisition_Plan!F13+Acquisition_Plan!E13</f>
        <v>600000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f>$B14*Inputs!$B$15*Inputs!$B$16*Curves!$E$5</f>
        <v>64164.07782</v>
      </c>
      <c r="M14" s="12">
        <f>$B14*Inputs!$B$15*Inputs!$B$16*Curves!$E$6</f>
        <v>70601.95386</v>
      </c>
      <c r="N14" s="12">
        <f>$B14*Inputs!$B$15*Inputs!$B$16*Curves!$E$7</f>
        <v>39629.10203</v>
      </c>
      <c r="O14" s="12">
        <f>$B14*Inputs!$B$15*Inputs!$B$16*Curves!$E$8</f>
        <v>42763.78444</v>
      </c>
      <c r="P14" s="12">
        <f>$B14*Inputs!$B$15*Inputs!$B$16*Curves!$E$9</f>
        <v>42971.57174</v>
      </c>
      <c r="Q14" s="12">
        <f>$B14*Inputs!$B$15*Inputs!$B$16*Curves!$E$10</f>
        <v>31649.23173</v>
      </c>
      <c r="R14" s="12">
        <f>$B14*Inputs!$B$15*Inputs!$B$16*Curves!$E$11</f>
        <v>41663.51207</v>
      </c>
      <c r="S14" s="12">
        <f>$B14*Inputs!$B$15*Inputs!$B$16*Curves!$E$12</f>
        <v>18285.76605</v>
      </c>
      <c r="T14" s="12">
        <f>$B14*Inputs!$B$15*Inputs!$B$16*Curves!$E$13</f>
        <v>11819.77947</v>
      </c>
      <c r="U14" s="12">
        <f>$B14*Inputs!$B$15*Inputs!$B$16*Curves!$E$14</f>
        <v>17751.22079</v>
      </c>
      <c r="V14" s="12">
        <f>$B14*Inputs!$B$15*Inputs!$B$16*Curves!$E$15</f>
        <v>9300</v>
      </c>
      <c r="W14" s="12">
        <f>$B14*Inputs!$B$15*Inputs!$B$16*Curves!$E$16</f>
        <v>9300</v>
      </c>
      <c r="X14" s="12">
        <f>$B14*Inputs!$B$15*Inputs!$B$16*Curves!$E$17</f>
        <v>9300</v>
      </c>
      <c r="Y14" s="12">
        <f>$B14*Inputs!$B$15*Inputs!$B$16*Curves!$E$18</f>
        <v>2325</v>
      </c>
      <c r="Z14" s="12">
        <f>$B14*Inputs!$B$15*Inputs!$B$16*Curves!$E$19</f>
        <v>2325</v>
      </c>
      <c r="AA14" s="12">
        <f>$B14*Inputs!$B$15*Inputs!$B$16*Curves!$E$20</f>
        <v>2325</v>
      </c>
      <c r="AB14" s="12">
        <f>$B14*Inputs!$B$15*Inputs!$B$16*Curves!$E$21</f>
        <v>2325</v>
      </c>
      <c r="AC14" s="12">
        <f>$B14*Inputs!$B$15*Inputs!$B$16*Curves!$E$22</f>
        <v>2325</v>
      </c>
      <c r="AD14" s="12">
        <f>$B14*Inputs!$B$15*Inputs!$B$16*Curves!$E$23</f>
        <v>2325</v>
      </c>
      <c r="AE14" s="12">
        <f>$B14*Inputs!$B$15*Inputs!$B$16*Curves!$E$24</f>
        <v>2325</v>
      </c>
      <c r="AF14" s="12">
        <f>$B14*Inputs!$B$15*Inputs!$B$16*Curves!$E$25</f>
        <v>2325</v>
      </c>
      <c r="AG14" s="12">
        <f>$B14*Inputs!$B$15*Inputs!$B$16*Curves!$E$26</f>
        <v>2325</v>
      </c>
      <c r="AH14" s="12">
        <f>$B14*Inputs!$B$15*Inputs!$B$16*Curves!$E$27</f>
        <v>2325</v>
      </c>
      <c r="AI14" s="12">
        <f>$B14*Inputs!$B$15*Inputs!$B$16*Curves!$E$28</f>
        <v>2325</v>
      </c>
      <c r="AJ14" s="12">
        <f>$B14*Inputs!$B$15*Inputs!$B$16*Curves!$E$29</f>
        <v>2325</v>
      </c>
      <c r="AK14" s="12">
        <f>$B14*Inputs!$B$15*Inputs!$B$16*Curves!$E$30</f>
        <v>2325</v>
      </c>
      <c r="AL14" s="12">
        <f>$B14*Inputs!$B$15*Inputs!$B$16*Curves!$E$31</f>
        <v>2325</v>
      </c>
    </row>
    <row r="15">
      <c r="A15" s="3" t="str">
        <f>Acquisition_Plan!A14</f>
        <v>2026-11-28</v>
      </c>
      <c r="B15" s="12">
        <f>Acquisition_Plan!D14+Acquisition_Plan!F14+Acquisition_Plan!E14</f>
        <v>700000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f>$B15*Inputs!$B$15*Inputs!$B$16*Curves!$E$5</f>
        <v>74858.09079</v>
      </c>
      <c r="N15" s="12">
        <f>$B15*Inputs!$B$15*Inputs!$B$16*Curves!$E$6</f>
        <v>82368.94617</v>
      </c>
      <c r="O15" s="12">
        <f>$B15*Inputs!$B$15*Inputs!$B$16*Curves!$E$7</f>
        <v>46233.95237</v>
      </c>
      <c r="P15" s="12">
        <f>$B15*Inputs!$B$15*Inputs!$B$16*Curves!$E$8</f>
        <v>49891.08185</v>
      </c>
      <c r="Q15" s="12">
        <f>$B15*Inputs!$B$15*Inputs!$B$16*Curves!$E$9</f>
        <v>50133.50036</v>
      </c>
      <c r="R15" s="12">
        <f>$B15*Inputs!$B$15*Inputs!$B$16*Curves!$E$10</f>
        <v>36924.10369</v>
      </c>
      <c r="S15" s="12">
        <f>$B15*Inputs!$B$15*Inputs!$B$16*Curves!$E$11</f>
        <v>48607.43075</v>
      </c>
      <c r="T15" s="12">
        <f>$B15*Inputs!$B$15*Inputs!$B$16*Curves!$E$12</f>
        <v>21333.39372</v>
      </c>
      <c r="U15" s="12">
        <f>$B15*Inputs!$B$15*Inputs!$B$16*Curves!$E$13</f>
        <v>13789.74271</v>
      </c>
      <c r="V15" s="12">
        <f>$B15*Inputs!$B$15*Inputs!$B$16*Curves!$E$14</f>
        <v>20709.75758</v>
      </c>
      <c r="W15" s="12">
        <f>$B15*Inputs!$B$15*Inputs!$B$16*Curves!$E$15</f>
        <v>10850</v>
      </c>
      <c r="X15" s="12">
        <f>$B15*Inputs!$B$15*Inputs!$B$16*Curves!$E$16</f>
        <v>10850</v>
      </c>
      <c r="Y15" s="12">
        <f>$B15*Inputs!$B$15*Inputs!$B$16*Curves!$E$17</f>
        <v>10850</v>
      </c>
      <c r="Z15" s="12">
        <f>$B15*Inputs!$B$15*Inputs!$B$16*Curves!$E$18</f>
        <v>2712.5</v>
      </c>
      <c r="AA15" s="12">
        <f>$B15*Inputs!$B$15*Inputs!$B$16*Curves!$E$19</f>
        <v>2712.5</v>
      </c>
      <c r="AB15" s="12">
        <f>$B15*Inputs!$B$15*Inputs!$B$16*Curves!$E$20</f>
        <v>2712.5</v>
      </c>
      <c r="AC15" s="12">
        <f>$B15*Inputs!$B$15*Inputs!$B$16*Curves!$E$21</f>
        <v>2712.5</v>
      </c>
      <c r="AD15" s="12">
        <f>$B15*Inputs!$B$15*Inputs!$B$16*Curves!$E$22</f>
        <v>2712.5</v>
      </c>
      <c r="AE15" s="12">
        <f>$B15*Inputs!$B$15*Inputs!$B$16*Curves!$E$23</f>
        <v>2712.5</v>
      </c>
      <c r="AF15" s="12">
        <f>$B15*Inputs!$B$15*Inputs!$B$16*Curves!$E$24</f>
        <v>2712.5</v>
      </c>
      <c r="AG15" s="12">
        <f>$B15*Inputs!$B$15*Inputs!$B$16*Curves!$E$25</f>
        <v>2712.5</v>
      </c>
      <c r="AH15" s="12">
        <f>$B15*Inputs!$B$15*Inputs!$B$16*Curves!$E$26</f>
        <v>2712.5</v>
      </c>
      <c r="AI15" s="12">
        <f>$B15*Inputs!$B$15*Inputs!$B$16*Curves!$E$27</f>
        <v>2712.5</v>
      </c>
      <c r="AJ15" s="12">
        <f>$B15*Inputs!$B$15*Inputs!$B$16*Curves!$E$28</f>
        <v>2712.5</v>
      </c>
      <c r="AK15" s="12">
        <f>$B15*Inputs!$B$15*Inputs!$B$16*Curves!$E$29</f>
        <v>2712.5</v>
      </c>
      <c r="AL15" s="12">
        <f>$B15*Inputs!$B$15*Inputs!$B$16*Curves!$E$30</f>
        <v>2712.5</v>
      </c>
    </row>
    <row r="16">
      <c r="A16" s="3" t="str">
        <f>Acquisition_Plan!A15</f>
        <v>2026-12-28</v>
      </c>
      <c r="B16" s="12">
        <f>Acquisition_Plan!D15+Acquisition_Plan!F15+Acquisition_Plan!E15</f>
        <v>700000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f>$B16*Inputs!$B$15*Inputs!$B$16*Curves!$E$5</f>
        <v>74858.09079</v>
      </c>
      <c r="O16" s="12">
        <f>$B16*Inputs!$B$15*Inputs!$B$16*Curves!$E$6</f>
        <v>82368.94617</v>
      </c>
      <c r="P16" s="12">
        <f>$B16*Inputs!$B$15*Inputs!$B$16*Curves!$E$7</f>
        <v>46233.95237</v>
      </c>
      <c r="Q16" s="12">
        <f>$B16*Inputs!$B$15*Inputs!$B$16*Curves!$E$8</f>
        <v>49891.08185</v>
      </c>
      <c r="R16" s="12">
        <f>$B16*Inputs!$B$15*Inputs!$B$16*Curves!$E$9</f>
        <v>50133.50036</v>
      </c>
      <c r="S16" s="12">
        <f>$B16*Inputs!$B$15*Inputs!$B$16*Curves!$E$10</f>
        <v>36924.10369</v>
      </c>
      <c r="T16" s="12">
        <f>$B16*Inputs!$B$15*Inputs!$B$16*Curves!$E$11</f>
        <v>48607.43075</v>
      </c>
      <c r="U16" s="12">
        <f>$B16*Inputs!$B$15*Inputs!$B$16*Curves!$E$12</f>
        <v>21333.39372</v>
      </c>
      <c r="V16" s="12">
        <f>$B16*Inputs!$B$15*Inputs!$B$16*Curves!$E$13</f>
        <v>13789.74271</v>
      </c>
      <c r="W16" s="12">
        <f>$B16*Inputs!$B$15*Inputs!$B$16*Curves!$E$14</f>
        <v>20709.75758</v>
      </c>
      <c r="X16" s="12">
        <f>$B16*Inputs!$B$15*Inputs!$B$16*Curves!$E$15</f>
        <v>10850</v>
      </c>
      <c r="Y16" s="12">
        <f>$B16*Inputs!$B$15*Inputs!$B$16*Curves!$E$16</f>
        <v>10850</v>
      </c>
      <c r="Z16" s="12">
        <f>$B16*Inputs!$B$15*Inputs!$B$16*Curves!$E$17</f>
        <v>10850</v>
      </c>
      <c r="AA16" s="12">
        <f>$B16*Inputs!$B$15*Inputs!$B$16*Curves!$E$18</f>
        <v>2712.5</v>
      </c>
      <c r="AB16" s="12">
        <f>$B16*Inputs!$B$15*Inputs!$B$16*Curves!$E$19</f>
        <v>2712.5</v>
      </c>
      <c r="AC16" s="12">
        <f>$B16*Inputs!$B$15*Inputs!$B$16*Curves!$E$20</f>
        <v>2712.5</v>
      </c>
      <c r="AD16" s="12">
        <f>$B16*Inputs!$B$15*Inputs!$B$16*Curves!$E$21</f>
        <v>2712.5</v>
      </c>
      <c r="AE16" s="12">
        <f>$B16*Inputs!$B$15*Inputs!$B$16*Curves!$E$22</f>
        <v>2712.5</v>
      </c>
      <c r="AF16" s="12">
        <f>$B16*Inputs!$B$15*Inputs!$B$16*Curves!$E$23</f>
        <v>2712.5</v>
      </c>
      <c r="AG16" s="12">
        <f>$B16*Inputs!$B$15*Inputs!$B$16*Curves!$E$24</f>
        <v>2712.5</v>
      </c>
      <c r="AH16" s="12">
        <f>$B16*Inputs!$B$15*Inputs!$B$16*Curves!$E$25</f>
        <v>2712.5</v>
      </c>
      <c r="AI16" s="12">
        <f>$B16*Inputs!$B$15*Inputs!$B$16*Curves!$E$26</f>
        <v>2712.5</v>
      </c>
      <c r="AJ16" s="12">
        <f>$B16*Inputs!$B$15*Inputs!$B$16*Curves!$E$27</f>
        <v>2712.5</v>
      </c>
      <c r="AK16" s="12">
        <f>$B16*Inputs!$B$15*Inputs!$B$16*Curves!$E$28</f>
        <v>2712.5</v>
      </c>
      <c r="AL16" s="12">
        <f>$B16*Inputs!$B$15*Inputs!$B$16*Curves!$E$29</f>
        <v>2712.5</v>
      </c>
    </row>
    <row r="17">
      <c r="A17" s="3" t="str">
        <f>Acquisition_Plan!A16</f>
        <v>2027-01-27</v>
      </c>
      <c r="B17" s="12">
        <f>Acquisition_Plan!D16+Acquisition_Plan!F16+Acquisition_Plan!E16</f>
        <v>800000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f>$B17*Inputs!$B$15*Inputs!$B$16*Curves!$E$5</f>
        <v>85552.10376</v>
      </c>
      <c r="P17" s="12">
        <f>$B17*Inputs!$B$15*Inputs!$B$16*Curves!$E$6</f>
        <v>94135.93848</v>
      </c>
      <c r="Q17" s="12">
        <f>$B17*Inputs!$B$15*Inputs!$B$16*Curves!$E$7</f>
        <v>52838.80271</v>
      </c>
      <c r="R17" s="12">
        <f>$B17*Inputs!$B$15*Inputs!$B$16*Curves!$E$8</f>
        <v>57018.37926</v>
      </c>
      <c r="S17" s="12">
        <f>$B17*Inputs!$B$15*Inputs!$B$16*Curves!$E$9</f>
        <v>57295.42898</v>
      </c>
      <c r="T17" s="12">
        <f>$B17*Inputs!$B$15*Inputs!$B$16*Curves!$E$10</f>
        <v>42198.97564</v>
      </c>
      <c r="U17" s="12">
        <f>$B17*Inputs!$B$15*Inputs!$B$16*Curves!$E$11</f>
        <v>55551.34943</v>
      </c>
      <c r="V17" s="12">
        <f>$B17*Inputs!$B$15*Inputs!$B$16*Curves!$E$12</f>
        <v>24381.0214</v>
      </c>
      <c r="W17" s="12">
        <f>$B17*Inputs!$B$15*Inputs!$B$16*Curves!$E$13</f>
        <v>15759.70595</v>
      </c>
      <c r="X17" s="12">
        <f>$B17*Inputs!$B$15*Inputs!$B$16*Curves!$E$14</f>
        <v>23668.29438</v>
      </c>
      <c r="Y17" s="12">
        <f>$B17*Inputs!$B$15*Inputs!$B$16*Curves!$E$15</f>
        <v>12400</v>
      </c>
      <c r="Z17" s="12">
        <f>$B17*Inputs!$B$15*Inputs!$B$16*Curves!$E$16</f>
        <v>12400</v>
      </c>
      <c r="AA17" s="12">
        <f>$B17*Inputs!$B$15*Inputs!$B$16*Curves!$E$17</f>
        <v>12400</v>
      </c>
      <c r="AB17" s="12">
        <f>$B17*Inputs!$B$15*Inputs!$B$16*Curves!$E$18</f>
        <v>3100</v>
      </c>
      <c r="AC17" s="12">
        <f>$B17*Inputs!$B$15*Inputs!$B$16*Curves!$E$19</f>
        <v>3100</v>
      </c>
      <c r="AD17" s="12">
        <f>$B17*Inputs!$B$15*Inputs!$B$16*Curves!$E$20</f>
        <v>3100</v>
      </c>
      <c r="AE17" s="12">
        <f>$B17*Inputs!$B$15*Inputs!$B$16*Curves!$E$21</f>
        <v>3100</v>
      </c>
      <c r="AF17" s="12">
        <f>$B17*Inputs!$B$15*Inputs!$B$16*Curves!$E$22</f>
        <v>3100</v>
      </c>
      <c r="AG17" s="12">
        <f>$B17*Inputs!$B$15*Inputs!$B$16*Curves!$E$23</f>
        <v>3100</v>
      </c>
      <c r="AH17" s="12">
        <f>$B17*Inputs!$B$15*Inputs!$B$16*Curves!$E$24</f>
        <v>3100</v>
      </c>
      <c r="AI17" s="12">
        <f>$B17*Inputs!$B$15*Inputs!$B$16*Curves!$E$25</f>
        <v>3100</v>
      </c>
      <c r="AJ17" s="12">
        <f>$B17*Inputs!$B$15*Inputs!$B$16*Curves!$E$26</f>
        <v>3100</v>
      </c>
      <c r="AK17" s="12">
        <f>$B17*Inputs!$B$15*Inputs!$B$16*Curves!$E$27</f>
        <v>3100</v>
      </c>
      <c r="AL17" s="12">
        <f>$B17*Inputs!$B$15*Inputs!$B$16*Curves!$E$28</f>
        <v>3100</v>
      </c>
    </row>
    <row r="18">
      <c r="A18" s="3" t="str">
        <f>Acquisition_Plan!A17</f>
        <v>2027-02-26</v>
      </c>
      <c r="B18" s="12">
        <f>Acquisition_Plan!D17+Acquisition_Plan!F17+Acquisition_Plan!E17</f>
        <v>800000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f>$B18*Inputs!$B$15*Inputs!$B$16*Curves!$E$5</f>
        <v>85552.10376</v>
      </c>
      <c r="Q18" s="12">
        <f>$B18*Inputs!$B$15*Inputs!$B$16*Curves!$E$6</f>
        <v>94135.93848</v>
      </c>
      <c r="R18" s="12">
        <f>$B18*Inputs!$B$15*Inputs!$B$16*Curves!$E$7</f>
        <v>52838.80271</v>
      </c>
      <c r="S18" s="12">
        <f>$B18*Inputs!$B$15*Inputs!$B$16*Curves!$E$8</f>
        <v>57018.37926</v>
      </c>
      <c r="T18" s="12">
        <f>$B18*Inputs!$B$15*Inputs!$B$16*Curves!$E$9</f>
        <v>57295.42898</v>
      </c>
      <c r="U18" s="12">
        <f>$B18*Inputs!$B$15*Inputs!$B$16*Curves!$E$10</f>
        <v>42198.97564</v>
      </c>
      <c r="V18" s="12">
        <f>$B18*Inputs!$B$15*Inputs!$B$16*Curves!$E$11</f>
        <v>55551.34943</v>
      </c>
      <c r="W18" s="12">
        <f>$B18*Inputs!$B$15*Inputs!$B$16*Curves!$E$12</f>
        <v>24381.0214</v>
      </c>
      <c r="X18" s="12">
        <f>$B18*Inputs!$B$15*Inputs!$B$16*Curves!$E$13</f>
        <v>15759.70595</v>
      </c>
      <c r="Y18" s="12">
        <f>$B18*Inputs!$B$15*Inputs!$B$16*Curves!$E$14</f>
        <v>23668.29438</v>
      </c>
      <c r="Z18" s="12">
        <f>$B18*Inputs!$B$15*Inputs!$B$16*Curves!$E$15</f>
        <v>12400</v>
      </c>
      <c r="AA18" s="12">
        <f>$B18*Inputs!$B$15*Inputs!$B$16*Curves!$E$16</f>
        <v>12400</v>
      </c>
      <c r="AB18" s="12">
        <f>$B18*Inputs!$B$15*Inputs!$B$16*Curves!$E$17</f>
        <v>12400</v>
      </c>
      <c r="AC18" s="12">
        <f>$B18*Inputs!$B$15*Inputs!$B$16*Curves!$E$18</f>
        <v>3100</v>
      </c>
      <c r="AD18" s="12">
        <f>$B18*Inputs!$B$15*Inputs!$B$16*Curves!$E$19</f>
        <v>3100</v>
      </c>
      <c r="AE18" s="12">
        <f>$B18*Inputs!$B$15*Inputs!$B$16*Curves!$E$20</f>
        <v>3100</v>
      </c>
      <c r="AF18" s="12">
        <f>$B18*Inputs!$B$15*Inputs!$B$16*Curves!$E$21</f>
        <v>3100</v>
      </c>
      <c r="AG18" s="12">
        <f>$B18*Inputs!$B$15*Inputs!$B$16*Curves!$E$22</f>
        <v>3100</v>
      </c>
      <c r="AH18" s="12">
        <f>$B18*Inputs!$B$15*Inputs!$B$16*Curves!$E$23</f>
        <v>3100</v>
      </c>
      <c r="AI18" s="12">
        <f>$B18*Inputs!$B$15*Inputs!$B$16*Curves!$E$24</f>
        <v>3100</v>
      </c>
      <c r="AJ18" s="12">
        <f>$B18*Inputs!$B$15*Inputs!$B$16*Curves!$E$25</f>
        <v>3100</v>
      </c>
      <c r="AK18" s="12">
        <f>$B18*Inputs!$B$15*Inputs!$B$16*Curves!$E$26</f>
        <v>3100</v>
      </c>
      <c r="AL18" s="12">
        <f>$B18*Inputs!$B$15*Inputs!$B$16*Curves!$E$27</f>
        <v>3100</v>
      </c>
    </row>
    <row r="19">
      <c r="A19" s="3" t="str">
        <f>Acquisition_Plan!A18</f>
        <v>2027-03-28</v>
      </c>
      <c r="B19" s="12">
        <f>Acquisition_Plan!D18+Acquisition_Plan!F18+Acquisition_Plan!E18</f>
        <v>800000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f>$B19*Inputs!$B$15*Inputs!$B$16*Curves!$E$5</f>
        <v>85552.10376</v>
      </c>
      <c r="R19" s="12">
        <f>$B19*Inputs!$B$15*Inputs!$B$16*Curves!$E$6</f>
        <v>94135.93848</v>
      </c>
      <c r="S19" s="12">
        <f>$B19*Inputs!$B$15*Inputs!$B$16*Curves!$E$7</f>
        <v>52838.80271</v>
      </c>
      <c r="T19" s="12">
        <f>$B19*Inputs!$B$15*Inputs!$B$16*Curves!$E$8</f>
        <v>57018.37926</v>
      </c>
      <c r="U19" s="12">
        <f>$B19*Inputs!$B$15*Inputs!$B$16*Curves!$E$9</f>
        <v>57295.42898</v>
      </c>
      <c r="V19" s="12">
        <f>$B19*Inputs!$B$15*Inputs!$B$16*Curves!$E$10</f>
        <v>42198.97564</v>
      </c>
      <c r="W19" s="12">
        <f>$B19*Inputs!$B$15*Inputs!$B$16*Curves!$E$11</f>
        <v>55551.34943</v>
      </c>
      <c r="X19" s="12">
        <f>$B19*Inputs!$B$15*Inputs!$B$16*Curves!$E$12</f>
        <v>24381.0214</v>
      </c>
      <c r="Y19" s="12">
        <f>$B19*Inputs!$B$15*Inputs!$B$16*Curves!$E$13</f>
        <v>15759.70595</v>
      </c>
      <c r="Z19" s="12">
        <f>$B19*Inputs!$B$15*Inputs!$B$16*Curves!$E$14</f>
        <v>23668.29438</v>
      </c>
      <c r="AA19" s="12">
        <f>$B19*Inputs!$B$15*Inputs!$B$16*Curves!$E$15</f>
        <v>12400</v>
      </c>
      <c r="AB19" s="12">
        <f>$B19*Inputs!$B$15*Inputs!$B$16*Curves!$E$16</f>
        <v>12400</v>
      </c>
      <c r="AC19" s="12">
        <f>$B19*Inputs!$B$15*Inputs!$B$16*Curves!$E$17</f>
        <v>12400</v>
      </c>
      <c r="AD19" s="12">
        <f>$B19*Inputs!$B$15*Inputs!$B$16*Curves!$E$18</f>
        <v>3100</v>
      </c>
      <c r="AE19" s="12">
        <f>$B19*Inputs!$B$15*Inputs!$B$16*Curves!$E$19</f>
        <v>3100</v>
      </c>
      <c r="AF19" s="12">
        <f>$B19*Inputs!$B$15*Inputs!$B$16*Curves!$E$20</f>
        <v>3100</v>
      </c>
      <c r="AG19" s="12">
        <f>$B19*Inputs!$B$15*Inputs!$B$16*Curves!$E$21</f>
        <v>3100</v>
      </c>
      <c r="AH19" s="12">
        <f>$B19*Inputs!$B$15*Inputs!$B$16*Curves!$E$22</f>
        <v>3100</v>
      </c>
      <c r="AI19" s="12">
        <f>$B19*Inputs!$B$15*Inputs!$B$16*Curves!$E$23</f>
        <v>3100</v>
      </c>
      <c r="AJ19" s="12">
        <f>$B19*Inputs!$B$15*Inputs!$B$16*Curves!$E$24</f>
        <v>3100</v>
      </c>
      <c r="AK19" s="12">
        <f>$B19*Inputs!$B$15*Inputs!$B$16*Curves!$E$25</f>
        <v>3100</v>
      </c>
      <c r="AL19" s="12">
        <f>$B19*Inputs!$B$15*Inputs!$B$16*Curves!$E$26</f>
        <v>3100</v>
      </c>
    </row>
    <row r="20">
      <c r="A20" s="3" t="str">
        <f>Acquisition_Plan!A19</f>
        <v>2027-04-27</v>
      </c>
      <c r="B20" s="12">
        <f>Acquisition_Plan!D19+Acquisition_Plan!F19+Acquisition_Plan!E19</f>
        <v>800000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f>$B20*Inputs!$B$15*Inputs!$B$16*Curves!$E$5</f>
        <v>85552.10376</v>
      </c>
      <c r="S20" s="12">
        <f>$B20*Inputs!$B$15*Inputs!$B$16*Curves!$E$6</f>
        <v>94135.93848</v>
      </c>
      <c r="T20" s="12">
        <f>$B20*Inputs!$B$15*Inputs!$B$16*Curves!$E$7</f>
        <v>52838.80271</v>
      </c>
      <c r="U20" s="12">
        <f>$B20*Inputs!$B$15*Inputs!$B$16*Curves!$E$8</f>
        <v>57018.37926</v>
      </c>
      <c r="V20" s="12">
        <f>$B20*Inputs!$B$15*Inputs!$B$16*Curves!$E$9</f>
        <v>57295.42898</v>
      </c>
      <c r="W20" s="12">
        <f>$B20*Inputs!$B$15*Inputs!$B$16*Curves!$E$10</f>
        <v>42198.97564</v>
      </c>
      <c r="X20" s="12">
        <f>$B20*Inputs!$B$15*Inputs!$B$16*Curves!$E$11</f>
        <v>55551.34943</v>
      </c>
      <c r="Y20" s="12">
        <f>$B20*Inputs!$B$15*Inputs!$B$16*Curves!$E$12</f>
        <v>24381.0214</v>
      </c>
      <c r="Z20" s="12">
        <f>$B20*Inputs!$B$15*Inputs!$B$16*Curves!$E$13</f>
        <v>15759.70595</v>
      </c>
      <c r="AA20" s="12">
        <f>$B20*Inputs!$B$15*Inputs!$B$16*Curves!$E$14</f>
        <v>23668.29438</v>
      </c>
      <c r="AB20" s="12">
        <f>$B20*Inputs!$B$15*Inputs!$B$16*Curves!$E$15</f>
        <v>12400</v>
      </c>
      <c r="AC20" s="12">
        <f>$B20*Inputs!$B$15*Inputs!$B$16*Curves!$E$16</f>
        <v>12400</v>
      </c>
      <c r="AD20" s="12">
        <f>$B20*Inputs!$B$15*Inputs!$B$16*Curves!$E$17</f>
        <v>12400</v>
      </c>
      <c r="AE20" s="12">
        <f>$B20*Inputs!$B$15*Inputs!$B$16*Curves!$E$18</f>
        <v>3100</v>
      </c>
      <c r="AF20" s="12">
        <f>$B20*Inputs!$B$15*Inputs!$B$16*Curves!$E$19</f>
        <v>3100</v>
      </c>
      <c r="AG20" s="12">
        <f>$B20*Inputs!$B$15*Inputs!$B$16*Curves!$E$20</f>
        <v>3100</v>
      </c>
      <c r="AH20" s="12">
        <f>$B20*Inputs!$B$15*Inputs!$B$16*Curves!$E$21</f>
        <v>3100</v>
      </c>
      <c r="AI20" s="12">
        <f>$B20*Inputs!$B$15*Inputs!$B$16*Curves!$E$22</f>
        <v>3100</v>
      </c>
      <c r="AJ20" s="12">
        <f>$B20*Inputs!$B$15*Inputs!$B$16*Curves!$E$23</f>
        <v>3100</v>
      </c>
      <c r="AK20" s="12">
        <f>$B20*Inputs!$B$15*Inputs!$B$16*Curves!$E$24</f>
        <v>3100</v>
      </c>
      <c r="AL20" s="12">
        <f>$B20*Inputs!$B$15*Inputs!$B$16*Curves!$E$25</f>
        <v>3100</v>
      </c>
    </row>
    <row r="21" ht="15.75" customHeight="1">
      <c r="A21" s="3" t="str">
        <f>Acquisition_Plan!A20</f>
        <v>2027-05-27</v>
      </c>
      <c r="B21" s="12">
        <f>Acquisition_Plan!D20+Acquisition_Plan!F20+Acquisition_Plan!E20</f>
        <v>800000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f>$B21*Inputs!$B$15*Inputs!$B$16*Curves!$E$5</f>
        <v>85552.10376</v>
      </c>
      <c r="T21" s="12">
        <f>$B21*Inputs!$B$15*Inputs!$B$16*Curves!$E$6</f>
        <v>94135.93848</v>
      </c>
      <c r="U21" s="12">
        <f>$B21*Inputs!$B$15*Inputs!$B$16*Curves!$E$7</f>
        <v>52838.80271</v>
      </c>
      <c r="V21" s="12">
        <f>$B21*Inputs!$B$15*Inputs!$B$16*Curves!$E$8</f>
        <v>57018.37926</v>
      </c>
      <c r="W21" s="12">
        <f>$B21*Inputs!$B$15*Inputs!$B$16*Curves!$E$9</f>
        <v>57295.42898</v>
      </c>
      <c r="X21" s="12">
        <f>$B21*Inputs!$B$15*Inputs!$B$16*Curves!$E$10</f>
        <v>42198.97564</v>
      </c>
      <c r="Y21" s="12">
        <f>$B21*Inputs!$B$15*Inputs!$B$16*Curves!$E$11</f>
        <v>55551.34943</v>
      </c>
      <c r="Z21" s="12">
        <f>$B21*Inputs!$B$15*Inputs!$B$16*Curves!$E$12</f>
        <v>24381.0214</v>
      </c>
      <c r="AA21" s="12">
        <f>$B21*Inputs!$B$15*Inputs!$B$16*Curves!$E$13</f>
        <v>15759.70595</v>
      </c>
      <c r="AB21" s="12">
        <f>$B21*Inputs!$B$15*Inputs!$B$16*Curves!$E$14</f>
        <v>23668.29438</v>
      </c>
      <c r="AC21" s="12">
        <f>$B21*Inputs!$B$15*Inputs!$B$16*Curves!$E$15</f>
        <v>12400</v>
      </c>
      <c r="AD21" s="12">
        <f>$B21*Inputs!$B$15*Inputs!$B$16*Curves!$E$16</f>
        <v>12400</v>
      </c>
      <c r="AE21" s="12">
        <f>$B21*Inputs!$B$15*Inputs!$B$16*Curves!$E$17</f>
        <v>12400</v>
      </c>
      <c r="AF21" s="12">
        <f>$B21*Inputs!$B$15*Inputs!$B$16*Curves!$E$18</f>
        <v>3100</v>
      </c>
      <c r="AG21" s="12">
        <f>$B21*Inputs!$B$15*Inputs!$B$16*Curves!$E$19</f>
        <v>3100</v>
      </c>
      <c r="AH21" s="12">
        <f>$B21*Inputs!$B$15*Inputs!$B$16*Curves!$E$20</f>
        <v>3100</v>
      </c>
      <c r="AI21" s="12">
        <f>$B21*Inputs!$B$15*Inputs!$B$16*Curves!$E$21</f>
        <v>3100</v>
      </c>
      <c r="AJ21" s="12">
        <f>$B21*Inputs!$B$15*Inputs!$B$16*Curves!$E$22</f>
        <v>3100</v>
      </c>
      <c r="AK21" s="12">
        <f>$B21*Inputs!$B$15*Inputs!$B$16*Curves!$E$23</f>
        <v>3100</v>
      </c>
      <c r="AL21" s="12">
        <f>$B21*Inputs!$B$15*Inputs!$B$16*Curves!$E$24</f>
        <v>3100</v>
      </c>
    </row>
    <row r="22" ht="15.75" customHeight="1">
      <c r="A22" s="3" t="str">
        <f>Acquisition_Plan!A21</f>
        <v>2027-06-26</v>
      </c>
      <c r="B22" s="12">
        <f>Acquisition_Plan!D21+Acquisition_Plan!F21+Acquisition_Plan!E21</f>
        <v>800000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f>$B22*Inputs!$B$15*Inputs!$B$16*Curves!$E$5</f>
        <v>85552.10376</v>
      </c>
      <c r="U22" s="12">
        <f>$B22*Inputs!$B$15*Inputs!$B$16*Curves!$E$6</f>
        <v>94135.93848</v>
      </c>
      <c r="V22" s="12">
        <f>$B22*Inputs!$B$15*Inputs!$B$16*Curves!$E$7</f>
        <v>52838.80271</v>
      </c>
      <c r="W22" s="12">
        <f>$B22*Inputs!$B$15*Inputs!$B$16*Curves!$E$8</f>
        <v>57018.37926</v>
      </c>
      <c r="X22" s="12">
        <f>$B22*Inputs!$B$15*Inputs!$B$16*Curves!$E$9</f>
        <v>57295.42898</v>
      </c>
      <c r="Y22" s="12">
        <f>$B22*Inputs!$B$15*Inputs!$B$16*Curves!$E$10</f>
        <v>42198.97564</v>
      </c>
      <c r="Z22" s="12">
        <f>$B22*Inputs!$B$15*Inputs!$B$16*Curves!$E$11</f>
        <v>55551.34943</v>
      </c>
      <c r="AA22" s="12">
        <f>$B22*Inputs!$B$15*Inputs!$B$16*Curves!$E$12</f>
        <v>24381.0214</v>
      </c>
      <c r="AB22" s="12">
        <f>$B22*Inputs!$B$15*Inputs!$B$16*Curves!$E$13</f>
        <v>15759.70595</v>
      </c>
      <c r="AC22" s="12">
        <f>$B22*Inputs!$B$15*Inputs!$B$16*Curves!$E$14</f>
        <v>23668.29438</v>
      </c>
      <c r="AD22" s="12">
        <f>$B22*Inputs!$B$15*Inputs!$B$16*Curves!$E$15</f>
        <v>12400</v>
      </c>
      <c r="AE22" s="12">
        <f>$B22*Inputs!$B$15*Inputs!$B$16*Curves!$E$16</f>
        <v>12400</v>
      </c>
      <c r="AF22" s="12">
        <f>$B22*Inputs!$B$15*Inputs!$B$16*Curves!$E$17</f>
        <v>12400</v>
      </c>
      <c r="AG22" s="12">
        <f>$B22*Inputs!$B$15*Inputs!$B$16*Curves!$E$18</f>
        <v>3100</v>
      </c>
      <c r="AH22" s="12">
        <f>$B22*Inputs!$B$15*Inputs!$B$16*Curves!$E$19</f>
        <v>3100</v>
      </c>
      <c r="AI22" s="12">
        <f>$B22*Inputs!$B$15*Inputs!$B$16*Curves!$E$20</f>
        <v>3100</v>
      </c>
      <c r="AJ22" s="12">
        <f>$B22*Inputs!$B$15*Inputs!$B$16*Curves!$E$21</f>
        <v>3100</v>
      </c>
      <c r="AK22" s="12">
        <f>$B22*Inputs!$B$15*Inputs!$B$16*Curves!$E$22</f>
        <v>3100</v>
      </c>
      <c r="AL22" s="12">
        <f>$B22*Inputs!$B$15*Inputs!$B$16*Curves!$E$23</f>
        <v>3100</v>
      </c>
    </row>
    <row r="23" ht="15.75" customHeight="1">
      <c r="A23" s="3" t="str">
        <f>Acquisition_Plan!A22</f>
        <v>2027-07-26</v>
      </c>
      <c r="B23" s="12">
        <f>Acquisition_Plan!D22+Acquisition_Plan!F22+Acquisition_Plan!E22</f>
        <v>800000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f>$B23*Inputs!$B$15*Inputs!$B$16*Curves!$E$5</f>
        <v>85552.10376</v>
      </c>
      <c r="V23" s="12">
        <f>$B23*Inputs!$B$15*Inputs!$B$16*Curves!$E$6</f>
        <v>94135.93848</v>
      </c>
      <c r="W23" s="12">
        <f>$B23*Inputs!$B$15*Inputs!$B$16*Curves!$E$7</f>
        <v>52838.80271</v>
      </c>
      <c r="X23" s="12">
        <f>$B23*Inputs!$B$15*Inputs!$B$16*Curves!$E$8</f>
        <v>57018.37926</v>
      </c>
      <c r="Y23" s="12">
        <f>$B23*Inputs!$B$15*Inputs!$B$16*Curves!$E$9</f>
        <v>57295.42898</v>
      </c>
      <c r="Z23" s="12">
        <f>$B23*Inputs!$B$15*Inputs!$B$16*Curves!$E$10</f>
        <v>42198.97564</v>
      </c>
      <c r="AA23" s="12">
        <f>$B23*Inputs!$B$15*Inputs!$B$16*Curves!$E$11</f>
        <v>55551.34943</v>
      </c>
      <c r="AB23" s="12">
        <f>$B23*Inputs!$B$15*Inputs!$B$16*Curves!$E$12</f>
        <v>24381.0214</v>
      </c>
      <c r="AC23" s="12">
        <f>$B23*Inputs!$B$15*Inputs!$B$16*Curves!$E$13</f>
        <v>15759.70595</v>
      </c>
      <c r="AD23" s="12">
        <f>$B23*Inputs!$B$15*Inputs!$B$16*Curves!$E$14</f>
        <v>23668.29438</v>
      </c>
      <c r="AE23" s="12">
        <f>$B23*Inputs!$B$15*Inputs!$B$16*Curves!$E$15</f>
        <v>12400</v>
      </c>
      <c r="AF23" s="12">
        <f>$B23*Inputs!$B$15*Inputs!$B$16*Curves!$E$16</f>
        <v>12400</v>
      </c>
      <c r="AG23" s="12">
        <f>$B23*Inputs!$B$15*Inputs!$B$16*Curves!$E$17</f>
        <v>12400</v>
      </c>
      <c r="AH23" s="12">
        <f>$B23*Inputs!$B$15*Inputs!$B$16*Curves!$E$18</f>
        <v>3100</v>
      </c>
      <c r="AI23" s="12">
        <f>$B23*Inputs!$B$15*Inputs!$B$16*Curves!$E$19</f>
        <v>3100</v>
      </c>
      <c r="AJ23" s="12">
        <f>$B23*Inputs!$B$15*Inputs!$B$16*Curves!$E$20</f>
        <v>3100</v>
      </c>
      <c r="AK23" s="12">
        <f>$B23*Inputs!$B$15*Inputs!$B$16*Curves!$E$21</f>
        <v>3100</v>
      </c>
      <c r="AL23" s="12">
        <f>$B23*Inputs!$B$15*Inputs!$B$16*Curves!$E$22</f>
        <v>3100</v>
      </c>
    </row>
    <row r="24" ht="15.75" customHeight="1">
      <c r="A24" s="3" t="str">
        <f>Acquisition_Plan!A23</f>
        <v>2027-08-25</v>
      </c>
      <c r="B24" s="12">
        <f>Acquisition_Plan!D23+Acquisition_Plan!F23+Acquisition_Plan!E23</f>
        <v>800000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f>$B24*Inputs!$B$15*Inputs!$B$16*Curves!$E$5</f>
        <v>85552.10376</v>
      </c>
      <c r="W24" s="12">
        <f>$B24*Inputs!$B$15*Inputs!$B$16*Curves!$E$6</f>
        <v>94135.93848</v>
      </c>
      <c r="X24" s="12">
        <f>$B24*Inputs!$B$15*Inputs!$B$16*Curves!$E$7</f>
        <v>52838.80271</v>
      </c>
      <c r="Y24" s="12">
        <f>$B24*Inputs!$B$15*Inputs!$B$16*Curves!$E$8</f>
        <v>57018.37926</v>
      </c>
      <c r="Z24" s="12">
        <f>$B24*Inputs!$B$15*Inputs!$B$16*Curves!$E$9</f>
        <v>57295.42898</v>
      </c>
      <c r="AA24" s="12">
        <f>$B24*Inputs!$B$15*Inputs!$B$16*Curves!$E$10</f>
        <v>42198.97564</v>
      </c>
      <c r="AB24" s="12">
        <f>$B24*Inputs!$B$15*Inputs!$B$16*Curves!$E$11</f>
        <v>55551.34943</v>
      </c>
      <c r="AC24" s="12">
        <f>$B24*Inputs!$B$15*Inputs!$B$16*Curves!$E$12</f>
        <v>24381.0214</v>
      </c>
      <c r="AD24" s="12">
        <f>$B24*Inputs!$B$15*Inputs!$B$16*Curves!$E$13</f>
        <v>15759.70595</v>
      </c>
      <c r="AE24" s="12">
        <f>$B24*Inputs!$B$15*Inputs!$B$16*Curves!$E$14</f>
        <v>23668.29438</v>
      </c>
      <c r="AF24" s="12">
        <f>$B24*Inputs!$B$15*Inputs!$B$16*Curves!$E$15</f>
        <v>12400</v>
      </c>
      <c r="AG24" s="12">
        <f>$B24*Inputs!$B$15*Inputs!$B$16*Curves!$E$16</f>
        <v>12400</v>
      </c>
      <c r="AH24" s="12">
        <f>$B24*Inputs!$B$15*Inputs!$B$16*Curves!$E$17</f>
        <v>12400</v>
      </c>
      <c r="AI24" s="12">
        <f>$B24*Inputs!$B$15*Inputs!$B$16*Curves!$E$18</f>
        <v>3100</v>
      </c>
      <c r="AJ24" s="12">
        <f>$B24*Inputs!$B$15*Inputs!$B$16*Curves!$E$19</f>
        <v>3100</v>
      </c>
      <c r="AK24" s="12">
        <f>$B24*Inputs!$B$15*Inputs!$B$16*Curves!$E$20</f>
        <v>3100</v>
      </c>
      <c r="AL24" s="12">
        <f>$B24*Inputs!$B$15*Inputs!$B$16*Curves!$E$21</f>
        <v>3100</v>
      </c>
    </row>
    <row r="25" ht="15.75" customHeight="1">
      <c r="A25" s="3" t="str">
        <f>Acquisition_Plan!A24</f>
        <v>2027-09-24</v>
      </c>
      <c r="B25" s="12">
        <f>Acquisition_Plan!D24+Acquisition_Plan!F24+Acquisition_Plan!E24</f>
        <v>800000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f>$B25*Inputs!$B$15*Inputs!$B$16*Curves!$E$5</f>
        <v>85552.10376</v>
      </c>
      <c r="X25" s="12">
        <f>$B25*Inputs!$B$15*Inputs!$B$16*Curves!$E$6</f>
        <v>94135.93848</v>
      </c>
      <c r="Y25" s="12">
        <f>$B25*Inputs!$B$15*Inputs!$B$16*Curves!$E$7</f>
        <v>52838.80271</v>
      </c>
      <c r="Z25" s="12">
        <f>$B25*Inputs!$B$15*Inputs!$B$16*Curves!$E$8</f>
        <v>57018.37926</v>
      </c>
      <c r="AA25" s="12">
        <f>$B25*Inputs!$B$15*Inputs!$B$16*Curves!$E$9</f>
        <v>57295.42898</v>
      </c>
      <c r="AB25" s="12">
        <f>$B25*Inputs!$B$15*Inputs!$B$16*Curves!$E$10</f>
        <v>42198.97564</v>
      </c>
      <c r="AC25" s="12">
        <f>$B25*Inputs!$B$15*Inputs!$B$16*Curves!$E$11</f>
        <v>55551.34943</v>
      </c>
      <c r="AD25" s="12">
        <f>$B25*Inputs!$B$15*Inputs!$B$16*Curves!$E$12</f>
        <v>24381.0214</v>
      </c>
      <c r="AE25" s="12">
        <f>$B25*Inputs!$B$15*Inputs!$B$16*Curves!$E$13</f>
        <v>15759.70595</v>
      </c>
      <c r="AF25" s="12">
        <f>$B25*Inputs!$B$15*Inputs!$B$16*Curves!$E$14</f>
        <v>23668.29438</v>
      </c>
      <c r="AG25" s="12">
        <f>$B25*Inputs!$B$15*Inputs!$B$16*Curves!$E$15</f>
        <v>12400</v>
      </c>
      <c r="AH25" s="12">
        <f>$B25*Inputs!$B$15*Inputs!$B$16*Curves!$E$16</f>
        <v>12400</v>
      </c>
      <c r="AI25" s="12">
        <f>$B25*Inputs!$B$15*Inputs!$B$16*Curves!$E$17</f>
        <v>12400</v>
      </c>
      <c r="AJ25" s="12">
        <f>$B25*Inputs!$B$15*Inputs!$B$16*Curves!$E$18</f>
        <v>3100</v>
      </c>
      <c r="AK25" s="12">
        <f>$B25*Inputs!$B$15*Inputs!$B$16*Curves!$E$19</f>
        <v>3100</v>
      </c>
      <c r="AL25" s="12">
        <f>$B25*Inputs!$B$15*Inputs!$B$16*Curves!$E$20</f>
        <v>3100</v>
      </c>
    </row>
    <row r="26" ht="15.75" customHeight="1">
      <c r="A26" s="3" t="str">
        <f>Acquisition_Plan!A25</f>
        <v>2027-10-24</v>
      </c>
      <c r="B26" s="12">
        <f>Acquisition_Plan!D25+Acquisition_Plan!F25+Acquisition_Plan!E25</f>
        <v>800000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f>$B26*Inputs!$B$15*Inputs!$B$16*Curves!$E$5</f>
        <v>85552.10376</v>
      </c>
      <c r="Y26" s="12">
        <f>$B26*Inputs!$B$15*Inputs!$B$16*Curves!$E$6</f>
        <v>94135.93848</v>
      </c>
      <c r="Z26" s="12">
        <f>$B26*Inputs!$B$15*Inputs!$B$16*Curves!$E$7</f>
        <v>52838.80271</v>
      </c>
      <c r="AA26" s="12">
        <f>$B26*Inputs!$B$15*Inputs!$B$16*Curves!$E$8</f>
        <v>57018.37926</v>
      </c>
      <c r="AB26" s="12">
        <f>$B26*Inputs!$B$15*Inputs!$B$16*Curves!$E$9</f>
        <v>57295.42898</v>
      </c>
      <c r="AC26" s="12">
        <f>$B26*Inputs!$B$15*Inputs!$B$16*Curves!$E$10</f>
        <v>42198.97564</v>
      </c>
      <c r="AD26" s="12">
        <f>$B26*Inputs!$B$15*Inputs!$B$16*Curves!$E$11</f>
        <v>55551.34943</v>
      </c>
      <c r="AE26" s="12">
        <f>$B26*Inputs!$B$15*Inputs!$B$16*Curves!$E$12</f>
        <v>24381.0214</v>
      </c>
      <c r="AF26" s="12">
        <f>$B26*Inputs!$B$15*Inputs!$B$16*Curves!$E$13</f>
        <v>15759.70595</v>
      </c>
      <c r="AG26" s="12">
        <f>$B26*Inputs!$B$15*Inputs!$B$16*Curves!$E$14</f>
        <v>23668.29438</v>
      </c>
      <c r="AH26" s="12">
        <f>$B26*Inputs!$B$15*Inputs!$B$16*Curves!$E$15</f>
        <v>12400</v>
      </c>
      <c r="AI26" s="12">
        <f>$B26*Inputs!$B$15*Inputs!$B$16*Curves!$E$16</f>
        <v>12400</v>
      </c>
      <c r="AJ26" s="12">
        <f>$B26*Inputs!$B$15*Inputs!$B$16*Curves!$E$17</f>
        <v>12400</v>
      </c>
      <c r="AK26" s="12">
        <f>$B26*Inputs!$B$15*Inputs!$B$16*Curves!$E$18</f>
        <v>3100</v>
      </c>
      <c r="AL26" s="12">
        <f>$B26*Inputs!$B$15*Inputs!$B$16*Curves!$E$19</f>
        <v>3100</v>
      </c>
    </row>
    <row r="27" ht="15.75" customHeight="1">
      <c r="A27" s="3" t="str">
        <f>Acquisition_Plan!A26</f>
        <v>2027-11-23</v>
      </c>
      <c r="B27" s="12">
        <f>Acquisition_Plan!D26+Acquisition_Plan!F26+Acquisition_Plan!E26</f>
        <v>800000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f>$B27*Inputs!$B$15*Inputs!$B$16*Curves!$E$5</f>
        <v>85552.10376</v>
      </c>
      <c r="Z27" s="12">
        <f>$B27*Inputs!$B$15*Inputs!$B$16*Curves!$E$6</f>
        <v>94135.93848</v>
      </c>
      <c r="AA27" s="12">
        <f>$B27*Inputs!$B$15*Inputs!$B$16*Curves!$E$7</f>
        <v>52838.80271</v>
      </c>
      <c r="AB27" s="12">
        <f>$B27*Inputs!$B$15*Inputs!$B$16*Curves!$E$8</f>
        <v>57018.37926</v>
      </c>
      <c r="AC27" s="12">
        <f>$B27*Inputs!$B$15*Inputs!$B$16*Curves!$E$9</f>
        <v>57295.42898</v>
      </c>
      <c r="AD27" s="12">
        <f>$B27*Inputs!$B$15*Inputs!$B$16*Curves!$E$10</f>
        <v>42198.97564</v>
      </c>
      <c r="AE27" s="12">
        <f>$B27*Inputs!$B$15*Inputs!$B$16*Curves!$E$11</f>
        <v>55551.34943</v>
      </c>
      <c r="AF27" s="12">
        <f>$B27*Inputs!$B$15*Inputs!$B$16*Curves!$E$12</f>
        <v>24381.0214</v>
      </c>
      <c r="AG27" s="12">
        <f>$B27*Inputs!$B$15*Inputs!$B$16*Curves!$E$13</f>
        <v>15759.70595</v>
      </c>
      <c r="AH27" s="12">
        <f>$B27*Inputs!$B$15*Inputs!$B$16*Curves!$E$14</f>
        <v>23668.29438</v>
      </c>
      <c r="AI27" s="12">
        <f>$B27*Inputs!$B$15*Inputs!$B$16*Curves!$E$15</f>
        <v>12400</v>
      </c>
      <c r="AJ27" s="12">
        <f>$B27*Inputs!$B$15*Inputs!$B$16*Curves!$E$16</f>
        <v>12400</v>
      </c>
      <c r="AK27" s="12">
        <f>$B27*Inputs!$B$15*Inputs!$B$16*Curves!$E$17</f>
        <v>12400</v>
      </c>
      <c r="AL27" s="12">
        <f>$B27*Inputs!$B$15*Inputs!$B$16*Curves!$E$18</f>
        <v>3100</v>
      </c>
    </row>
    <row r="28" ht="15.75" customHeight="1">
      <c r="A28" s="3" t="str">
        <f>Acquisition_Plan!A27</f>
        <v>2027-12-23</v>
      </c>
      <c r="B28" s="12">
        <f>Acquisition_Plan!D27+Acquisition_Plan!F27+Acquisition_Plan!E27</f>
        <v>800000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2">
        <f>$B28*Inputs!$B$15*Inputs!$B$16*Curves!$E$5</f>
        <v>85552.10376</v>
      </c>
      <c r="AA28" s="12">
        <f>$B28*Inputs!$B$15*Inputs!$B$16*Curves!$E$6</f>
        <v>94135.93848</v>
      </c>
      <c r="AB28" s="12">
        <f>$B28*Inputs!$B$15*Inputs!$B$16*Curves!$E$7</f>
        <v>52838.80271</v>
      </c>
      <c r="AC28" s="12">
        <f>$B28*Inputs!$B$15*Inputs!$B$16*Curves!$E$8</f>
        <v>57018.37926</v>
      </c>
      <c r="AD28" s="12">
        <f>$B28*Inputs!$B$15*Inputs!$B$16*Curves!$E$9</f>
        <v>57295.42898</v>
      </c>
      <c r="AE28" s="12">
        <f>$B28*Inputs!$B$15*Inputs!$B$16*Curves!$E$10</f>
        <v>42198.97564</v>
      </c>
      <c r="AF28" s="12">
        <f>$B28*Inputs!$B$15*Inputs!$B$16*Curves!$E$11</f>
        <v>55551.34943</v>
      </c>
      <c r="AG28" s="12">
        <f>$B28*Inputs!$B$15*Inputs!$B$16*Curves!$E$12</f>
        <v>24381.0214</v>
      </c>
      <c r="AH28" s="12">
        <f>$B28*Inputs!$B$15*Inputs!$B$16*Curves!$E$13</f>
        <v>15759.70595</v>
      </c>
      <c r="AI28" s="12">
        <f>$B28*Inputs!$B$15*Inputs!$B$16*Curves!$E$14</f>
        <v>23668.29438</v>
      </c>
      <c r="AJ28" s="12">
        <f>$B28*Inputs!$B$15*Inputs!$B$16*Curves!$E$15</f>
        <v>12400</v>
      </c>
      <c r="AK28" s="12">
        <f>$B28*Inputs!$B$15*Inputs!$B$16*Curves!$E$16</f>
        <v>12400</v>
      </c>
      <c r="AL28" s="12">
        <f>$B28*Inputs!$B$15*Inputs!$B$16*Curves!$E$17</f>
        <v>12400</v>
      </c>
    </row>
    <row r="29" ht="15.75" customHeight="1">
      <c r="A29" s="3" t="str">
        <f>Acquisition_Plan!A28</f>
        <v>2028-01-22</v>
      </c>
      <c r="B29" s="12">
        <f>Acquisition_Plan!D28+Acquisition_Plan!F28+Acquisition_Plan!E28</f>
        <v>800000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f>$B29*Inputs!$B$15*Inputs!$B$16*Curves!$E$5</f>
        <v>85552.10376</v>
      </c>
      <c r="AB29" s="12">
        <f>$B29*Inputs!$B$15*Inputs!$B$16*Curves!$E$6</f>
        <v>94135.93848</v>
      </c>
      <c r="AC29" s="12">
        <f>$B29*Inputs!$B$15*Inputs!$B$16*Curves!$E$7</f>
        <v>52838.80271</v>
      </c>
      <c r="AD29" s="12">
        <f>$B29*Inputs!$B$15*Inputs!$B$16*Curves!$E$8</f>
        <v>57018.37926</v>
      </c>
      <c r="AE29" s="12">
        <f>$B29*Inputs!$B$15*Inputs!$B$16*Curves!$E$9</f>
        <v>57295.42898</v>
      </c>
      <c r="AF29" s="12">
        <f>$B29*Inputs!$B$15*Inputs!$B$16*Curves!$E$10</f>
        <v>42198.97564</v>
      </c>
      <c r="AG29" s="12">
        <f>$B29*Inputs!$B$15*Inputs!$B$16*Curves!$E$11</f>
        <v>55551.34943</v>
      </c>
      <c r="AH29" s="12">
        <f>$B29*Inputs!$B$15*Inputs!$B$16*Curves!$E$12</f>
        <v>24381.0214</v>
      </c>
      <c r="AI29" s="12">
        <f>$B29*Inputs!$B$15*Inputs!$B$16*Curves!$E$13</f>
        <v>15759.70595</v>
      </c>
      <c r="AJ29" s="12">
        <f>$B29*Inputs!$B$15*Inputs!$B$16*Curves!$E$14</f>
        <v>23668.29438</v>
      </c>
      <c r="AK29" s="12">
        <f>$B29*Inputs!$B$15*Inputs!$B$16*Curves!$E$15</f>
        <v>12400</v>
      </c>
      <c r="AL29" s="12">
        <f>$B29*Inputs!$B$15*Inputs!$B$16*Curves!$E$16</f>
        <v>12400</v>
      </c>
    </row>
    <row r="30" ht="15.75" customHeight="1">
      <c r="A30" s="3" t="str">
        <f>Acquisition_Plan!A29</f>
        <v>2028-02-21</v>
      </c>
      <c r="B30" s="12">
        <f>Acquisition_Plan!D29+Acquisition_Plan!F29+Acquisition_Plan!E29</f>
        <v>800000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2">
        <f>$B30*Inputs!$B$15*Inputs!$B$16*Curves!$E$5</f>
        <v>85552.10376</v>
      </c>
      <c r="AC30" s="12">
        <f>$B30*Inputs!$B$15*Inputs!$B$16*Curves!$E$6</f>
        <v>94135.93848</v>
      </c>
      <c r="AD30" s="12">
        <f>$B30*Inputs!$B$15*Inputs!$B$16*Curves!$E$7</f>
        <v>52838.80271</v>
      </c>
      <c r="AE30" s="12">
        <f>$B30*Inputs!$B$15*Inputs!$B$16*Curves!$E$8</f>
        <v>57018.37926</v>
      </c>
      <c r="AF30" s="12">
        <f>$B30*Inputs!$B$15*Inputs!$B$16*Curves!$E$9</f>
        <v>57295.42898</v>
      </c>
      <c r="AG30" s="12">
        <f>$B30*Inputs!$B$15*Inputs!$B$16*Curves!$E$10</f>
        <v>42198.97564</v>
      </c>
      <c r="AH30" s="12">
        <f>$B30*Inputs!$B$15*Inputs!$B$16*Curves!$E$11</f>
        <v>55551.34943</v>
      </c>
      <c r="AI30" s="12">
        <f>$B30*Inputs!$B$15*Inputs!$B$16*Curves!$E$12</f>
        <v>24381.0214</v>
      </c>
      <c r="AJ30" s="12">
        <f>$B30*Inputs!$B$15*Inputs!$B$16*Curves!$E$13</f>
        <v>15759.70595</v>
      </c>
      <c r="AK30" s="12">
        <f>$B30*Inputs!$B$15*Inputs!$B$16*Curves!$E$14</f>
        <v>23668.29438</v>
      </c>
      <c r="AL30" s="12">
        <f>$B30*Inputs!$B$15*Inputs!$B$16*Curves!$E$15</f>
        <v>12400</v>
      </c>
    </row>
    <row r="31" ht="15.75" customHeight="1">
      <c r="A31" s="3" t="str">
        <f>Acquisition_Plan!A30</f>
        <v>2028-03-22</v>
      </c>
      <c r="B31" s="12">
        <f>Acquisition_Plan!D30+Acquisition_Plan!F30+Acquisition_Plan!E30</f>
        <v>800000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2">
        <v>0.0</v>
      </c>
      <c r="AA31" s="12">
        <v>0.0</v>
      </c>
      <c r="AB31" s="12">
        <v>0.0</v>
      </c>
      <c r="AC31" s="12">
        <f>$B31*Inputs!$B$15*Inputs!$B$16*Curves!$E$5</f>
        <v>85552.10376</v>
      </c>
      <c r="AD31" s="12">
        <f>$B31*Inputs!$B$15*Inputs!$B$16*Curves!$E$6</f>
        <v>94135.93848</v>
      </c>
      <c r="AE31" s="12">
        <f>$B31*Inputs!$B$15*Inputs!$B$16*Curves!$E$7</f>
        <v>52838.80271</v>
      </c>
      <c r="AF31" s="12">
        <f>$B31*Inputs!$B$15*Inputs!$B$16*Curves!$E$8</f>
        <v>57018.37926</v>
      </c>
      <c r="AG31" s="12">
        <f>$B31*Inputs!$B$15*Inputs!$B$16*Curves!$E$9</f>
        <v>57295.42898</v>
      </c>
      <c r="AH31" s="12">
        <f>$B31*Inputs!$B$15*Inputs!$B$16*Curves!$E$10</f>
        <v>42198.97564</v>
      </c>
      <c r="AI31" s="12">
        <f>$B31*Inputs!$B$15*Inputs!$B$16*Curves!$E$11</f>
        <v>55551.34943</v>
      </c>
      <c r="AJ31" s="12">
        <f>$B31*Inputs!$B$15*Inputs!$B$16*Curves!$E$12</f>
        <v>24381.0214</v>
      </c>
      <c r="AK31" s="12">
        <f>$B31*Inputs!$B$15*Inputs!$B$16*Curves!$E$13</f>
        <v>15759.70595</v>
      </c>
      <c r="AL31" s="12">
        <f>$B31*Inputs!$B$15*Inputs!$B$16*Curves!$E$14</f>
        <v>23668.29438</v>
      </c>
    </row>
    <row r="32" ht="15.75" customHeight="1">
      <c r="A32" s="3" t="str">
        <f>Acquisition_Plan!A31</f>
        <v>2028-04-21</v>
      </c>
      <c r="B32" s="12">
        <f>Acquisition_Plan!D31+Acquisition_Plan!F31+Acquisition_Plan!E31</f>
        <v>800000</v>
      </c>
      <c r="C32" s="12">
        <v>0.0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2">
        <v>0.0</v>
      </c>
      <c r="AA32" s="12">
        <v>0.0</v>
      </c>
      <c r="AB32" s="12">
        <v>0.0</v>
      </c>
      <c r="AC32" s="12">
        <v>0.0</v>
      </c>
      <c r="AD32" s="12">
        <f>$B32*Inputs!$B$15*Inputs!$B$16*Curves!$E$5</f>
        <v>85552.10376</v>
      </c>
      <c r="AE32" s="12">
        <f>$B32*Inputs!$B$15*Inputs!$B$16*Curves!$E$6</f>
        <v>94135.93848</v>
      </c>
      <c r="AF32" s="12">
        <f>$B32*Inputs!$B$15*Inputs!$B$16*Curves!$E$7</f>
        <v>52838.80271</v>
      </c>
      <c r="AG32" s="12">
        <f>$B32*Inputs!$B$15*Inputs!$B$16*Curves!$E$8</f>
        <v>57018.37926</v>
      </c>
      <c r="AH32" s="12">
        <f>$B32*Inputs!$B$15*Inputs!$B$16*Curves!$E$9</f>
        <v>57295.42898</v>
      </c>
      <c r="AI32" s="12">
        <f>$B32*Inputs!$B$15*Inputs!$B$16*Curves!$E$10</f>
        <v>42198.97564</v>
      </c>
      <c r="AJ32" s="12">
        <f>$B32*Inputs!$B$15*Inputs!$B$16*Curves!$E$11</f>
        <v>55551.34943</v>
      </c>
      <c r="AK32" s="12">
        <f>$B32*Inputs!$B$15*Inputs!$B$16*Curves!$E$12</f>
        <v>24381.0214</v>
      </c>
      <c r="AL32" s="12">
        <f>$B32*Inputs!$B$15*Inputs!$B$16*Curves!$E$13</f>
        <v>15759.70595</v>
      </c>
    </row>
    <row r="33" ht="15.75" customHeight="1">
      <c r="A33" s="3" t="str">
        <f>Acquisition_Plan!A32</f>
        <v>2028-05-21</v>
      </c>
      <c r="B33" s="12">
        <f>Acquisition_Plan!D32+Acquisition_Plan!F32+Acquisition_Plan!E32</f>
        <v>800000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12">
        <v>0.0</v>
      </c>
      <c r="AA33" s="12">
        <v>0.0</v>
      </c>
      <c r="AB33" s="12">
        <v>0.0</v>
      </c>
      <c r="AC33" s="12">
        <v>0.0</v>
      </c>
      <c r="AD33" s="12">
        <v>0.0</v>
      </c>
      <c r="AE33" s="12">
        <f>$B33*Inputs!$B$15*Inputs!$B$16*Curves!$E$5</f>
        <v>85552.10376</v>
      </c>
      <c r="AF33" s="12">
        <f>$B33*Inputs!$B$15*Inputs!$B$16*Curves!$E$6</f>
        <v>94135.93848</v>
      </c>
      <c r="AG33" s="12">
        <f>$B33*Inputs!$B$15*Inputs!$B$16*Curves!$E$7</f>
        <v>52838.80271</v>
      </c>
      <c r="AH33" s="12">
        <f>$B33*Inputs!$B$15*Inputs!$B$16*Curves!$E$8</f>
        <v>57018.37926</v>
      </c>
      <c r="AI33" s="12">
        <f>$B33*Inputs!$B$15*Inputs!$B$16*Curves!$E$9</f>
        <v>57295.42898</v>
      </c>
      <c r="AJ33" s="12">
        <f>$B33*Inputs!$B$15*Inputs!$B$16*Curves!$E$10</f>
        <v>42198.97564</v>
      </c>
      <c r="AK33" s="12">
        <f>$B33*Inputs!$B$15*Inputs!$B$16*Curves!$E$11</f>
        <v>55551.34943</v>
      </c>
      <c r="AL33" s="12">
        <f>$B33*Inputs!$B$15*Inputs!$B$16*Curves!$E$12</f>
        <v>24381.0214</v>
      </c>
    </row>
    <row r="34" ht="15.75" customHeight="1">
      <c r="A34" s="3" t="str">
        <f>Acquisition_Plan!A33</f>
        <v>2028-06-20</v>
      </c>
      <c r="B34" s="12">
        <f>Acquisition_Plan!D33+Acquisition_Plan!F33+Acquisition_Plan!E33</f>
        <v>800000</v>
      </c>
      <c r="C34" s="12">
        <v>0.0</v>
      </c>
      <c r="D34" s="12">
        <v>0.0</v>
      </c>
      <c r="E34" s="12">
        <v>0.0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  <c r="T34" s="12">
        <v>0.0</v>
      </c>
      <c r="U34" s="12">
        <v>0.0</v>
      </c>
      <c r="V34" s="12">
        <v>0.0</v>
      </c>
      <c r="W34" s="12">
        <v>0.0</v>
      </c>
      <c r="X34" s="12">
        <v>0.0</v>
      </c>
      <c r="Y34" s="12">
        <v>0.0</v>
      </c>
      <c r="Z34" s="12">
        <v>0.0</v>
      </c>
      <c r="AA34" s="12">
        <v>0.0</v>
      </c>
      <c r="AB34" s="12">
        <v>0.0</v>
      </c>
      <c r="AC34" s="12">
        <v>0.0</v>
      </c>
      <c r="AD34" s="12">
        <v>0.0</v>
      </c>
      <c r="AE34" s="12">
        <v>0.0</v>
      </c>
      <c r="AF34" s="12">
        <f>$B34*Inputs!$B$15*Inputs!$B$16*Curves!$E$5</f>
        <v>85552.10376</v>
      </c>
      <c r="AG34" s="12">
        <f>$B34*Inputs!$B$15*Inputs!$B$16*Curves!$E$6</f>
        <v>94135.93848</v>
      </c>
      <c r="AH34" s="12">
        <f>$B34*Inputs!$B$15*Inputs!$B$16*Curves!$E$7</f>
        <v>52838.80271</v>
      </c>
      <c r="AI34" s="12">
        <f>$B34*Inputs!$B$15*Inputs!$B$16*Curves!$E$8</f>
        <v>57018.37926</v>
      </c>
      <c r="AJ34" s="12">
        <f>$B34*Inputs!$B$15*Inputs!$B$16*Curves!$E$9</f>
        <v>57295.42898</v>
      </c>
      <c r="AK34" s="12">
        <f>$B34*Inputs!$B$15*Inputs!$B$16*Curves!$E$10</f>
        <v>42198.97564</v>
      </c>
      <c r="AL34" s="12">
        <f>$B34*Inputs!$B$15*Inputs!$B$16*Curves!$E$11</f>
        <v>55551.34943</v>
      </c>
    </row>
    <row r="35" ht="15.75" customHeight="1">
      <c r="A35" s="3" t="str">
        <f>Acquisition_Plan!A34</f>
        <v>2028-07-20</v>
      </c>
      <c r="B35" s="12">
        <f>Acquisition_Plan!D34+Acquisition_Plan!F34+Acquisition_Plan!E34</f>
        <v>800000</v>
      </c>
      <c r="C35" s="12">
        <v>0.0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12">
        <v>0.0</v>
      </c>
      <c r="AD35" s="12">
        <v>0.0</v>
      </c>
      <c r="AE35" s="12">
        <v>0.0</v>
      </c>
      <c r="AF35" s="12">
        <v>0.0</v>
      </c>
      <c r="AG35" s="12">
        <f>$B35*Inputs!$B$15*Inputs!$B$16*Curves!$E$5</f>
        <v>85552.10376</v>
      </c>
      <c r="AH35" s="12">
        <f>$B35*Inputs!$B$15*Inputs!$B$16*Curves!$E$6</f>
        <v>94135.93848</v>
      </c>
      <c r="AI35" s="12">
        <f>$B35*Inputs!$B$15*Inputs!$B$16*Curves!$E$7</f>
        <v>52838.80271</v>
      </c>
      <c r="AJ35" s="12">
        <f>$B35*Inputs!$B$15*Inputs!$B$16*Curves!$E$8</f>
        <v>57018.37926</v>
      </c>
      <c r="AK35" s="12">
        <f>$B35*Inputs!$B$15*Inputs!$B$16*Curves!$E$9</f>
        <v>57295.42898</v>
      </c>
      <c r="AL35" s="12">
        <f>$B35*Inputs!$B$15*Inputs!$B$16*Curves!$E$10</f>
        <v>42198.97564</v>
      </c>
    </row>
    <row r="36" ht="15.75" customHeight="1">
      <c r="A36" s="3" t="str">
        <f>Acquisition_Plan!A35</f>
        <v>2028-08-19</v>
      </c>
      <c r="B36" s="12">
        <f>Acquisition_Plan!D35+Acquisition_Plan!F35+Acquisition_Plan!E35</f>
        <v>800000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0.0</v>
      </c>
      <c r="S36" s="12">
        <v>0.0</v>
      </c>
      <c r="T36" s="12">
        <v>0.0</v>
      </c>
      <c r="U36" s="12">
        <v>0.0</v>
      </c>
      <c r="V36" s="12">
        <v>0.0</v>
      </c>
      <c r="W36" s="12">
        <v>0.0</v>
      </c>
      <c r="X36" s="12">
        <v>0.0</v>
      </c>
      <c r="Y36" s="12">
        <v>0.0</v>
      </c>
      <c r="Z36" s="12">
        <v>0.0</v>
      </c>
      <c r="AA36" s="12">
        <v>0.0</v>
      </c>
      <c r="AB36" s="12">
        <v>0.0</v>
      </c>
      <c r="AC36" s="12">
        <v>0.0</v>
      </c>
      <c r="AD36" s="12">
        <v>0.0</v>
      </c>
      <c r="AE36" s="12">
        <v>0.0</v>
      </c>
      <c r="AF36" s="12">
        <v>0.0</v>
      </c>
      <c r="AG36" s="12">
        <v>0.0</v>
      </c>
      <c r="AH36" s="12">
        <f>$B36*Inputs!$B$15*Inputs!$B$16*Curves!$E$5</f>
        <v>85552.10376</v>
      </c>
      <c r="AI36" s="12">
        <f>$B36*Inputs!$B$15*Inputs!$B$16*Curves!$E$6</f>
        <v>94135.93848</v>
      </c>
      <c r="AJ36" s="12">
        <f>$B36*Inputs!$B$15*Inputs!$B$16*Curves!$E$7</f>
        <v>52838.80271</v>
      </c>
      <c r="AK36" s="12">
        <f>$B36*Inputs!$B$15*Inputs!$B$16*Curves!$E$8</f>
        <v>57018.37926</v>
      </c>
      <c r="AL36" s="12">
        <f>$B36*Inputs!$B$15*Inputs!$B$16*Curves!$E$9</f>
        <v>57295.42898</v>
      </c>
    </row>
    <row r="37" ht="15.75" customHeight="1">
      <c r="A37" s="3" t="str">
        <f>Acquisition_Plan!A36</f>
        <v>2028-09-18</v>
      </c>
      <c r="B37" s="12">
        <f>Acquisition_Plan!D36+Acquisition_Plan!F36+Acquisition_Plan!E36</f>
        <v>800000</v>
      </c>
      <c r="C37" s="12">
        <v>0.0</v>
      </c>
      <c r="D37" s="12">
        <v>0.0</v>
      </c>
      <c r="E37" s="12">
        <v>0.0</v>
      </c>
      <c r="F37" s="12">
        <v>0.0</v>
      </c>
      <c r="G37" s="12">
        <v>0.0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0.0</v>
      </c>
      <c r="P37" s="12">
        <v>0.0</v>
      </c>
      <c r="Q37" s="12">
        <v>0.0</v>
      </c>
      <c r="R37" s="12">
        <v>0.0</v>
      </c>
      <c r="S37" s="12">
        <v>0.0</v>
      </c>
      <c r="T37" s="12">
        <v>0.0</v>
      </c>
      <c r="U37" s="12">
        <v>0.0</v>
      </c>
      <c r="V37" s="12">
        <v>0.0</v>
      </c>
      <c r="W37" s="12">
        <v>0.0</v>
      </c>
      <c r="X37" s="12">
        <v>0.0</v>
      </c>
      <c r="Y37" s="12">
        <v>0.0</v>
      </c>
      <c r="Z37" s="12">
        <v>0.0</v>
      </c>
      <c r="AA37" s="12">
        <v>0.0</v>
      </c>
      <c r="AB37" s="12">
        <v>0.0</v>
      </c>
      <c r="AC37" s="12">
        <v>0.0</v>
      </c>
      <c r="AD37" s="12">
        <v>0.0</v>
      </c>
      <c r="AE37" s="12">
        <v>0.0</v>
      </c>
      <c r="AF37" s="12">
        <v>0.0</v>
      </c>
      <c r="AG37" s="12">
        <v>0.0</v>
      </c>
      <c r="AH37" s="12">
        <v>0.0</v>
      </c>
      <c r="AI37" s="12">
        <f>$B37*Inputs!$B$15*Inputs!$B$16*Curves!$E$5</f>
        <v>85552.10376</v>
      </c>
      <c r="AJ37" s="12">
        <f>$B37*Inputs!$B$15*Inputs!$B$16*Curves!$E$6</f>
        <v>94135.93848</v>
      </c>
      <c r="AK37" s="12">
        <f>$B37*Inputs!$B$15*Inputs!$B$16*Curves!$E$7</f>
        <v>52838.80271</v>
      </c>
      <c r="AL37" s="12">
        <f>$B37*Inputs!$B$15*Inputs!$B$16*Curves!$E$8</f>
        <v>57018.37926</v>
      </c>
    </row>
    <row r="38" ht="15.75" customHeight="1">
      <c r="A38" s="3" t="str">
        <f>Acquisition_Plan!A37</f>
        <v>2028-10-18</v>
      </c>
      <c r="B38" s="12">
        <f>Acquisition_Plan!D37+Acquisition_Plan!F37+Acquisition_Plan!E37</f>
        <v>800000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  <c r="T38" s="12">
        <v>0.0</v>
      </c>
      <c r="U38" s="12">
        <v>0.0</v>
      </c>
      <c r="V38" s="12">
        <v>0.0</v>
      </c>
      <c r="W38" s="12">
        <v>0.0</v>
      </c>
      <c r="X38" s="12">
        <v>0.0</v>
      </c>
      <c r="Y38" s="12">
        <v>0.0</v>
      </c>
      <c r="Z38" s="12">
        <v>0.0</v>
      </c>
      <c r="AA38" s="12">
        <v>0.0</v>
      </c>
      <c r="AB38" s="12">
        <v>0.0</v>
      </c>
      <c r="AC38" s="12">
        <v>0.0</v>
      </c>
      <c r="AD38" s="12">
        <v>0.0</v>
      </c>
      <c r="AE38" s="12">
        <v>0.0</v>
      </c>
      <c r="AF38" s="12">
        <v>0.0</v>
      </c>
      <c r="AG38" s="12">
        <v>0.0</v>
      </c>
      <c r="AH38" s="12">
        <v>0.0</v>
      </c>
      <c r="AI38" s="12">
        <v>0.0</v>
      </c>
      <c r="AJ38" s="12">
        <f>$B38*Inputs!$B$15*Inputs!$B$16*Curves!$E$5</f>
        <v>85552.10376</v>
      </c>
      <c r="AK38" s="12">
        <f>$B38*Inputs!$B$15*Inputs!$B$16*Curves!$E$6</f>
        <v>94135.93848</v>
      </c>
      <c r="AL38" s="12">
        <f>$B38*Inputs!$B$15*Inputs!$B$16*Curves!$E$7</f>
        <v>52838.80271</v>
      </c>
    </row>
    <row r="39" ht="15.75" customHeight="1">
      <c r="A39" s="3" t="str">
        <f>Acquisition_Plan!A38</f>
        <v>2028-11-17</v>
      </c>
      <c r="B39" s="12">
        <f>Acquisition_Plan!D38+Acquisition_Plan!F38+Acquisition_Plan!E38</f>
        <v>800000</v>
      </c>
      <c r="C39" s="12">
        <v>0.0</v>
      </c>
      <c r="D39" s="12">
        <v>0.0</v>
      </c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2">
        <v>0.0</v>
      </c>
      <c r="R39" s="12">
        <v>0.0</v>
      </c>
      <c r="S39" s="12">
        <v>0.0</v>
      </c>
      <c r="T39" s="12">
        <v>0.0</v>
      </c>
      <c r="U39" s="12">
        <v>0.0</v>
      </c>
      <c r="V39" s="12">
        <v>0.0</v>
      </c>
      <c r="W39" s="12">
        <v>0.0</v>
      </c>
      <c r="X39" s="12">
        <v>0.0</v>
      </c>
      <c r="Y39" s="12">
        <v>0.0</v>
      </c>
      <c r="Z39" s="12">
        <v>0.0</v>
      </c>
      <c r="AA39" s="12">
        <v>0.0</v>
      </c>
      <c r="AB39" s="12">
        <v>0.0</v>
      </c>
      <c r="AC39" s="12">
        <v>0.0</v>
      </c>
      <c r="AD39" s="12">
        <v>0.0</v>
      </c>
      <c r="AE39" s="12">
        <v>0.0</v>
      </c>
      <c r="AF39" s="12">
        <v>0.0</v>
      </c>
      <c r="AG39" s="12">
        <v>0.0</v>
      </c>
      <c r="AH39" s="12">
        <v>0.0</v>
      </c>
      <c r="AI39" s="12">
        <v>0.0</v>
      </c>
      <c r="AJ39" s="12">
        <v>0.0</v>
      </c>
      <c r="AK39" s="12">
        <f>$B39*Inputs!$B$15*Inputs!$B$16*Curves!$E$5</f>
        <v>85552.10376</v>
      </c>
      <c r="AL39" s="12">
        <f>$B39*Inputs!$B$15*Inputs!$B$16*Curves!$E$6</f>
        <v>94135.93848</v>
      </c>
    </row>
    <row r="40" ht="15.75" customHeight="1">
      <c r="A40" s="3" t="str">
        <f>Acquisition_Plan!A39</f>
        <v>2028-12-17</v>
      </c>
      <c r="B40" s="12">
        <f>Acquisition_Plan!D39+Acquisition_Plan!F39+Acquisition_Plan!E39</f>
        <v>800000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0.0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0.0</v>
      </c>
      <c r="S40" s="12">
        <v>0.0</v>
      </c>
      <c r="T40" s="12">
        <v>0.0</v>
      </c>
      <c r="U40" s="12">
        <v>0.0</v>
      </c>
      <c r="V40" s="12">
        <v>0.0</v>
      </c>
      <c r="W40" s="12">
        <v>0.0</v>
      </c>
      <c r="X40" s="12">
        <v>0.0</v>
      </c>
      <c r="Y40" s="12">
        <v>0.0</v>
      </c>
      <c r="Z40" s="12">
        <v>0.0</v>
      </c>
      <c r="AA40" s="12">
        <v>0.0</v>
      </c>
      <c r="AB40" s="12">
        <v>0.0</v>
      </c>
      <c r="AC40" s="12">
        <v>0.0</v>
      </c>
      <c r="AD40" s="12">
        <v>0.0</v>
      </c>
      <c r="AE40" s="12">
        <v>0.0</v>
      </c>
      <c r="AF40" s="12">
        <v>0.0</v>
      </c>
      <c r="AG40" s="12">
        <v>0.0</v>
      </c>
      <c r="AH40" s="12">
        <v>0.0</v>
      </c>
      <c r="AI40" s="12">
        <v>0.0</v>
      </c>
      <c r="AJ40" s="12">
        <v>0.0</v>
      </c>
      <c r="AK40" s="12">
        <v>0.0</v>
      </c>
      <c r="AL40" s="12">
        <f>$B40*Inputs!$B$15*Inputs!$B$16*Curves!$E$5</f>
        <v>85552.10376</v>
      </c>
    </row>
    <row r="41" ht="15.75" customHeight="1">
      <c r="A41" s="2" t="s">
        <v>139</v>
      </c>
      <c r="C41" s="22">
        <f t="shared" ref="C41:AL41" si="1">SUM(C5:C40)</f>
        <v>21388.02594</v>
      </c>
      <c r="D41" s="22">
        <f t="shared" si="1"/>
        <v>50269.01705</v>
      </c>
      <c r="E41" s="22">
        <f t="shared" si="1"/>
        <v>74709.22036</v>
      </c>
      <c r="F41" s="22">
        <f t="shared" si="1"/>
        <v>98149.7365</v>
      </c>
      <c r="G41" s="22">
        <f t="shared" si="1"/>
        <v>130033.6806</v>
      </c>
      <c r="H41" s="22">
        <f t="shared" si="1"/>
        <v>159495.0298</v>
      </c>
      <c r="I41" s="22">
        <f t="shared" si="1"/>
        <v>196900.1308</v>
      </c>
      <c r="J41" s="22">
        <f t="shared" si="1"/>
        <v>227999.0712</v>
      </c>
      <c r="K41" s="22">
        <f t="shared" si="1"/>
        <v>261395.5628</v>
      </c>
      <c r="L41" s="22">
        <f t="shared" si="1"/>
        <v>293990.5935</v>
      </c>
      <c r="M41" s="22">
        <f t="shared" si="1"/>
        <v>330959.5541</v>
      </c>
      <c r="N41" s="22">
        <f t="shared" si="1"/>
        <v>363530.6119</v>
      </c>
      <c r="O41" s="22">
        <f t="shared" si="1"/>
        <v>401555.2857</v>
      </c>
      <c r="P41" s="22">
        <f t="shared" si="1"/>
        <v>434055.6119</v>
      </c>
      <c r="Q41" s="22">
        <f t="shared" si="1"/>
        <v>460030.0228</v>
      </c>
      <c r="R41" s="22">
        <f t="shared" si="1"/>
        <v>481150.8566</v>
      </c>
      <c r="S41" s="22">
        <f t="shared" si="1"/>
        <v>501489.1671</v>
      </c>
      <c r="T41" s="22">
        <f t="shared" si="1"/>
        <v>515870.2036</v>
      </c>
      <c r="U41" s="22">
        <f t="shared" si="1"/>
        <v>529434.0855</v>
      </c>
      <c r="V41" s="22">
        <f t="shared" si="1"/>
        <v>538927.75</v>
      </c>
      <c r="W41" s="22">
        <f t="shared" si="1"/>
        <v>545935.2132</v>
      </c>
      <c r="X41" s="22">
        <f t="shared" si="1"/>
        <v>552768.75</v>
      </c>
      <c r="Y41" s="22">
        <f t="shared" si="1"/>
        <v>558193.75</v>
      </c>
      <c r="Z41" s="22">
        <f t="shared" si="1"/>
        <v>562456.25</v>
      </c>
      <c r="AA41" s="22">
        <f t="shared" si="1"/>
        <v>566718.75</v>
      </c>
      <c r="AB41" s="22">
        <f t="shared" si="1"/>
        <v>569818.75</v>
      </c>
      <c r="AC41" s="22">
        <f t="shared" si="1"/>
        <v>572918.75</v>
      </c>
      <c r="AD41" s="22">
        <f t="shared" si="1"/>
        <v>576018.75</v>
      </c>
      <c r="AE41" s="22">
        <f t="shared" si="1"/>
        <v>579118.75</v>
      </c>
      <c r="AF41" s="22">
        <f t="shared" si="1"/>
        <v>582218.75</v>
      </c>
      <c r="AG41" s="22">
        <f t="shared" si="1"/>
        <v>585318.75</v>
      </c>
      <c r="AH41" s="22">
        <f t="shared" si="1"/>
        <v>588418.75</v>
      </c>
      <c r="AI41" s="22">
        <f t="shared" si="1"/>
        <v>591518.75</v>
      </c>
      <c r="AJ41" s="22">
        <f t="shared" si="1"/>
        <v>594618.75</v>
      </c>
      <c r="AK41" s="22">
        <f t="shared" si="1"/>
        <v>597718.75</v>
      </c>
      <c r="AL41" s="22">
        <f t="shared" si="1"/>
        <v>600818.75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8.71"/>
  </cols>
  <sheetData>
    <row r="1">
      <c r="A1" s="1" t="s">
        <v>141</v>
      </c>
    </row>
    <row r="2">
      <c r="A2" s="3" t="s">
        <v>142</v>
      </c>
    </row>
    <row r="3">
      <c r="A3" s="3" t="s">
        <v>143</v>
      </c>
    </row>
    <row r="4">
      <c r="A4" s="3" t="s">
        <v>144</v>
      </c>
    </row>
    <row r="6">
      <c r="A6" s="9" t="s">
        <v>39</v>
      </c>
      <c r="B6" s="9" t="s">
        <v>145</v>
      </c>
      <c r="C6" s="9" t="s">
        <v>146</v>
      </c>
      <c r="D6" s="9" t="s">
        <v>103</v>
      </c>
      <c r="E6" s="9" t="s">
        <v>104</v>
      </c>
      <c r="F6" s="9" t="s">
        <v>105</v>
      </c>
      <c r="G6" s="9" t="s">
        <v>106</v>
      </c>
      <c r="H6" s="9" t="s">
        <v>107</v>
      </c>
      <c r="I6" s="9" t="s">
        <v>108</v>
      </c>
      <c r="J6" s="9" t="s">
        <v>109</v>
      </c>
      <c r="K6" s="9" t="s">
        <v>110</v>
      </c>
      <c r="L6" s="9" t="s">
        <v>111</v>
      </c>
      <c r="M6" s="9" t="s">
        <v>112</v>
      </c>
      <c r="N6" s="9" t="s">
        <v>113</v>
      </c>
      <c r="O6" s="9" t="s">
        <v>114</v>
      </c>
      <c r="P6" s="9" t="s">
        <v>115</v>
      </c>
      <c r="Q6" s="9" t="s">
        <v>116</v>
      </c>
      <c r="R6" s="9" t="s">
        <v>117</v>
      </c>
      <c r="S6" s="9" t="s">
        <v>118</v>
      </c>
      <c r="T6" s="9" t="s">
        <v>119</v>
      </c>
      <c r="U6" s="9" t="s">
        <v>120</v>
      </c>
      <c r="V6" s="9" t="s">
        <v>121</v>
      </c>
      <c r="W6" s="9" t="s">
        <v>122</v>
      </c>
      <c r="X6" s="9" t="s">
        <v>123</v>
      </c>
      <c r="Y6" s="9" t="s">
        <v>124</v>
      </c>
      <c r="Z6" s="9" t="s">
        <v>125</v>
      </c>
      <c r="AA6" s="9" t="s">
        <v>126</v>
      </c>
      <c r="AB6" s="9" t="s">
        <v>127</v>
      </c>
      <c r="AC6" s="9" t="s">
        <v>128</v>
      </c>
      <c r="AD6" s="9" t="s">
        <v>129</v>
      </c>
      <c r="AE6" s="9" t="s">
        <v>130</v>
      </c>
      <c r="AF6" s="9" t="s">
        <v>131</v>
      </c>
      <c r="AG6" s="9" t="s">
        <v>132</v>
      </c>
      <c r="AH6" s="9" t="s">
        <v>133</v>
      </c>
      <c r="AI6" s="9" t="s">
        <v>134</v>
      </c>
      <c r="AJ6" s="9" t="s">
        <v>135</v>
      </c>
      <c r="AK6" s="9" t="s">
        <v>136</v>
      </c>
      <c r="AL6" s="9" t="s">
        <v>137</v>
      </c>
      <c r="AM6" s="9" t="s">
        <v>138</v>
      </c>
    </row>
    <row r="7">
      <c r="A7" s="2" t="str">
        <f>Acquisition_Plan!A4</f>
        <v>2026-02-01</v>
      </c>
      <c r="B7" s="12">
        <f>Acquisition_Plan!E4</f>
        <v>0</v>
      </c>
      <c r="C7" s="12">
        <f>B7*(1+Inputs!$B$12)</f>
        <v>0</v>
      </c>
    </row>
    <row r="8">
      <c r="A8" s="3" t="s">
        <v>147</v>
      </c>
      <c r="D8" s="12">
        <f>$B7*Inputs!$B$15*Curves!C5*(1-Inputs!$B$16)</f>
        <v>0</v>
      </c>
      <c r="E8" s="12">
        <f>$B7*Inputs!$B$15*Curves!C6*(1-Inputs!$B$16)</f>
        <v>0</v>
      </c>
      <c r="F8" s="12">
        <f>$B7*Inputs!$B$15*Curves!C7*(1-Inputs!$B$16)</f>
        <v>0</v>
      </c>
      <c r="G8" s="12">
        <f>$B7*Inputs!$B$15*Curves!C8*(1-Inputs!$B$16)</f>
        <v>0</v>
      </c>
      <c r="H8" s="12">
        <f>$B7*Inputs!$B$15*Curves!C9*(1-Inputs!$B$16)</f>
        <v>0</v>
      </c>
      <c r="I8" s="12">
        <f>$B7*Inputs!$B$15*Curves!C10*(1-Inputs!$B$16)</f>
        <v>0</v>
      </c>
      <c r="J8" s="12">
        <f>$B7*Inputs!$B$15*Curves!C11*(1-Inputs!$B$16)</f>
        <v>0</v>
      </c>
      <c r="K8" s="12">
        <f>$B7*Inputs!$B$15*Curves!C12*(1-Inputs!$B$16)</f>
        <v>0</v>
      </c>
      <c r="L8" s="12">
        <f>$B7*Inputs!$B$15*Curves!C13*(1-Inputs!$B$16)</f>
        <v>0</v>
      </c>
      <c r="M8" s="12">
        <f>$B7*Inputs!$B$15*Curves!C14*(1-Inputs!$B$16)</f>
        <v>0</v>
      </c>
      <c r="N8" s="12">
        <f>$B7*Inputs!$B$15*Curves!C15*(1-Inputs!$B$16)</f>
        <v>0</v>
      </c>
      <c r="O8" s="12">
        <f>$B7*Inputs!$B$15*Curves!C16*(1-Inputs!$B$16)</f>
        <v>0</v>
      </c>
      <c r="P8" s="12">
        <f>$B7*Inputs!$B$15*Curves!C17*(1-Inputs!$B$16)</f>
        <v>0</v>
      </c>
      <c r="Q8" s="12">
        <f>$B7*Inputs!$B$15*Curves!C18*(1-Inputs!$B$16)</f>
        <v>0</v>
      </c>
      <c r="R8" s="12">
        <f>$B7*Inputs!$B$15*Curves!C19*(1-Inputs!$B$16)</f>
        <v>0</v>
      </c>
      <c r="S8" s="12">
        <f>$B7*Inputs!$B$15*Curves!C20*(1-Inputs!$B$16)</f>
        <v>0</v>
      </c>
      <c r="T8" s="12">
        <f>$B7*Inputs!$B$15*Curves!C21*(1-Inputs!$B$16)</f>
        <v>0</v>
      </c>
      <c r="U8" s="12">
        <f>$B7*Inputs!$B$15*Curves!C22*(1-Inputs!$B$16)</f>
        <v>0</v>
      </c>
      <c r="V8" s="12">
        <f>$B7*Inputs!$B$15*Curves!C23*(1-Inputs!$B$16)</f>
        <v>0</v>
      </c>
      <c r="W8" s="12">
        <f>$B7*Inputs!$B$15*Curves!C24*(1-Inputs!$B$16)</f>
        <v>0</v>
      </c>
      <c r="X8" s="12">
        <f>$B7*Inputs!$B$15*Curves!C25*(1-Inputs!$B$16)</f>
        <v>0</v>
      </c>
      <c r="Y8" s="12">
        <f>$B7*Inputs!$B$15*Curves!C26*(1-Inputs!$B$16)</f>
        <v>0</v>
      </c>
      <c r="Z8" s="12">
        <f>$B7*Inputs!$B$15*Curves!C27*(1-Inputs!$B$16)</f>
        <v>0</v>
      </c>
      <c r="AA8" s="12">
        <f>$B7*Inputs!$B$15*Curves!C28*(1-Inputs!$B$16)</f>
        <v>0</v>
      </c>
      <c r="AB8" s="12">
        <f>$B7*Inputs!$B$15*Curves!C29*(1-Inputs!$B$16)</f>
        <v>0</v>
      </c>
      <c r="AC8" s="12">
        <f>$B7*Inputs!$B$15*Curves!C30*(1-Inputs!$B$16)</f>
        <v>0</v>
      </c>
      <c r="AD8" s="12">
        <f>$B7*Inputs!$B$15*Curves!C31*(1-Inputs!$B$16)</f>
        <v>0</v>
      </c>
      <c r="AE8" s="12">
        <f>$B7*Inputs!$B$15*Curves!C32*(1-Inputs!$B$16)</f>
        <v>0</v>
      </c>
      <c r="AF8" s="12">
        <f>$B7*Inputs!$B$15*Curves!C33*(1-Inputs!$B$16)</f>
        <v>0</v>
      </c>
      <c r="AG8" s="12">
        <f>$B7*Inputs!$B$15*Curves!C34*(1-Inputs!$B$16)</f>
        <v>0</v>
      </c>
      <c r="AH8" s="12">
        <f>$B7*Inputs!$B$15*Curves!C35*(1-Inputs!$B$16)</f>
        <v>0</v>
      </c>
      <c r="AI8" s="12">
        <f>$B7*Inputs!$B$15*Curves!C36*(1-Inputs!$B$16)</f>
        <v>0</v>
      </c>
      <c r="AJ8" s="12">
        <f>$B7*Inputs!$B$15*Curves!C37*(1-Inputs!$B$16)</f>
        <v>0</v>
      </c>
      <c r="AK8" s="12">
        <f>$B7*Inputs!$B$15*Curves!C38*(1-Inputs!$B$16)</f>
        <v>0</v>
      </c>
      <c r="AL8" s="12">
        <f>$B7*Inputs!$B$15*Curves!C39*(1-Inputs!$B$16)</f>
        <v>0</v>
      </c>
      <c r="AM8" s="12">
        <f>$B7*Inputs!$B$15*Curves!C40*(1-Inputs!$B$16)</f>
        <v>0</v>
      </c>
    </row>
    <row r="9">
      <c r="A9" s="3" t="s">
        <v>148</v>
      </c>
      <c r="D9" s="3" t="s">
        <v>149</v>
      </c>
      <c r="E9" s="3" t="str">
        <f t="shared" ref="E9:AM9" si="1">IF($B7=0, "N", IF(D12&gt;=$B7, "Y", "N"))</f>
        <v>N</v>
      </c>
      <c r="F9" s="3" t="str">
        <f t="shared" si="1"/>
        <v>N</v>
      </c>
      <c r="G9" s="3" t="str">
        <f t="shared" si="1"/>
        <v>N</v>
      </c>
      <c r="H9" s="3" t="str">
        <f t="shared" si="1"/>
        <v>N</v>
      </c>
      <c r="I9" s="3" t="str">
        <f t="shared" si="1"/>
        <v>N</v>
      </c>
      <c r="J9" s="3" t="str">
        <f t="shared" si="1"/>
        <v>N</v>
      </c>
      <c r="K9" s="3" t="str">
        <f t="shared" si="1"/>
        <v>N</v>
      </c>
      <c r="L9" s="3" t="str">
        <f t="shared" si="1"/>
        <v>N</v>
      </c>
      <c r="M9" s="3" t="str">
        <f t="shared" si="1"/>
        <v>N</v>
      </c>
      <c r="N9" s="3" t="str">
        <f t="shared" si="1"/>
        <v>N</v>
      </c>
      <c r="O9" s="3" t="str">
        <f t="shared" si="1"/>
        <v>N</v>
      </c>
      <c r="P9" s="3" t="str">
        <f t="shared" si="1"/>
        <v>N</v>
      </c>
      <c r="Q9" s="3" t="str">
        <f t="shared" si="1"/>
        <v>N</v>
      </c>
      <c r="R9" s="3" t="str">
        <f t="shared" si="1"/>
        <v>N</v>
      </c>
      <c r="S9" s="3" t="str">
        <f t="shared" si="1"/>
        <v>N</v>
      </c>
      <c r="T9" s="3" t="str">
        <f t="shared" si="1"/>
        <v>N</v>
      </c>
      <c r="U9" s="3" t="str">
        <f t="shared" si="1"/>
        <v>N</v>
      </c>
      <c r="V9" s="3" t="str">
        <f t="shared" si="1"/>
        <v>N</v>
      </c>
      <c r="W9" s="3" t="str">
        <f t="shared" si="1"/>
        <v>N</v>
      </c>
      <c r="X9" s="3" t="str">
        <f t="shared" si="1"/>
        <v>N</v>
      </c>
      <c r="Y9" s="3" t="str">
        <f t="shared" si="1"/>
        <v>N</v>
      </c>
      <c r="Z9" s="3" t="str">
        <f t="shared" si="1"/>
        <v>N</v>
      </c>
      <c r="AA9" s="3" t="str">
        <f t="shared" si="1"/>
        <v>N</v>
      </c>
      <c r="AB9" s="3" t="str">
        <f t="shared" si="1"/>
        <v>N</v>
      </c>
      <c r="AC9" s="3" t="str">
        <f t="shared" si="1"/>
        <v>N</v>
      </c>
      <c r="AD9" s="3" t="str">
        <f t="shared" si="1"/>
        <v>N</v>
      </c>
      <c r="AE9" s="3" t="str">
        <f t="shared" si="1"/>
        <v>N</v>
      </c>
      <c r="AF9" s="3" t="str">
        <f t="shared" si="1"/>
        <v>N</v>
      </c>
      <c r="AG9" s="3" t="str">
        <f t="shared" si="1"/>
        <v>N</v>
      </c>
      <c r="AH9" s="3" t="str">
        <f t="shared" si="1"/>
        <v>N</v>
      </c>
      <c r="AI9" s="3" t="str">
        <f t="shared" si="1"/>
        <v>N</v>
      </c>
      <c r="AJ9" s="3" t="str">
        <f t="shared" si="1"/>
        <v>N</v>
      </c>
      <c r="AK9" s="3" t="str">
        <f t="shared" si="1"/>
        <v>N</v>
      </c>
      <c r="AL9" s="3" t="str">
        <f t="shared" si="1"/>
        <v>N</v>
      </c>
      <c r="AM9" s="3" t="str">
        <f t="shared" si="1"/>
        <v>N</v>
      </c>
    </row>
    <row r="10">
      <c r="A10" s="3" t="s">
        <v>150</v>
      </c>
      <c r="D10" s="12">
        <v>0.0</v>
      </c>
      <c r="E10" s="12">
        <f>IF(AND(E9="Y", D13="N"), $B7*Inputs!$B$12/12, 0)</f>
        <v>0</v>
      </c>
      <c r="F10" s="12">
        <f>IF(AND(F9="Y", E13="N"), $B7*Inputs!$B$12/12, 0)</f>
        <v>0</v>
      </c>
      <c r="G10" s="12">
        <f>IF(AND(G9="Y", F13="N"), $B7*Inputs!$B$12/12, 0)</f>
        <v>0</v>
      </c>
      <c r="H10" s="12">
        <f>IF(AND(H9="Y", G13="N"), $B7*Inputs!$B$12/12, 0)</f>
        <v>0</v>
      </c>
      <c r="I10" s="12">
        <f>IF(AND(I9="Y", H13="N"), $B7*Inputs!$B$12/12, 0)</f>
        <v>0</v>
      </c>
      <c r="J10" s="12">
        <f>IF(AND(J9="Y", I13="N"), $B7*Inputs!$B$12/12, 0)</f>
        <v>0</v>
      </c>
      <c r="K10" s="12">
        <f>IF(AND(K9="Y", J13="N"), $B7*Inputs!$B$12/12, 0)</f>
        <v>0</v>
      </c>
      <c r="L10" s="12">
        <f>IF(AND(L9="Y", K13="N"), $B7*Inputs!$B$12/12, 0)</f>
        <v>0</v>
      </c>
      <c r="M10" s="12">
        <f>IF(AND(M9="Y", L13="N"), $B7*Inputs!$B$12/12, 0)</f>
        <v>0</v>
      </c>
      <c r="N10" s="12">
        <f>IF(AND(N9="Y", M13="N"), $B7*Inputs!$B$12/12, 0)</f>
        <v>0</v>
      </c>
      <c r="O10" s="12">
        <f>IF(AND(O9="Y", N13="N"), $B7*Inputs!$B$12/12, 0)</f>
        <v>0</v>
      </c>
      <c r="P10" s="12">
        <f>IF(AND(P9="Y", O13="N"), $B7*Inputs!$B$12/12, 0)</f>
        <v>0</v>
      </c>
      <c r="Q10" s="12">
        <f>IF(AND(Q9="Y", P13="N"), $B7*Inputs!$B$12/12, 0)</f>
        <v>0</v>
      </c>
      <c r="R10" s="12">
        <f>IF(AND(R9="Y", Q13="N"), $B7*Inputs!$B$12/12, 0)</f>
        <v>0</v>
      </c>
      <c r="S10" s="12">
        <f>IF(AND(S9="Y", R13="N"), $B7*Inputs!$B$12/12, 0)</f>
        <v>0</v>
      </c>
      <c r="T10" s="12">
        <f>IF(AND(T9="Y", S13="N"), $B7*Inputs!$B$12/12, 0)</f>
        <v>0</v>
      </c>
      <c r="U10" s="12">
        <f>IF(AND(U9="Y", T13="N"), $B7*Inputs!$B$12/12, 0)</f>
        <v>0</v>
      </c>
      <c r="V10" s="12">
        <f>IF(AND(V9="Y", U13="N"), $B7*Inputs!$B$12/12, 0)</f>
        <v>0</v>
      </c>
      <c r="W10" s="12">
        <f>IF(AND(W9="Y", V13="N"), $B7*Inputs!$B$12/12, 0)</f>
        <v>0</v>
      </c>
      <c r="X10" s="12">
        <f>IF(AND(X9="Y", W13="N"), $B7*Inputs!$B$12/12, 0)</f>
        <v>0</v>
      </c>
      <c r="Y10" s="12">
        <f>IF(AND(Y9="Y", X13="N"), $B7*Inputs!$B$12/12, 0)</f>
        <v>0</v>
      </c>
      <c r="Z10" s="12">
        <f>IF(AND(Z9="Y", Y13="N"), $B7*Inputs!$B$12/12, 0)</f>
        <v>0</v>
      </c>
      <c r="AA10" s="12">
        <f>IF(AND(AA9="Y", Z13="N"), $B7*Inputs!$B$12/12, 0)</f>
        <v>0</v>
      </c>
      <c r="AB10" s="12">
        <f>IF(AND(AB9="Y", AA13="N"), $B7*Inputs!$B$12/12, 0)</f>
        <v>0</v>
      </c>
      <c r="AC10" s="12">
        <f>IF(AND(AC9="Y", AB13="N"), $B7*Inputs!$B$12/12, 0)</f>
        <v>0</v>
      </c>
      <c r="AD10" s="12">
        <f>IF(AND(AD9="Y", AC13="N"), $B7*Inputs!$B$12/12, 0)</f>
        <v>0</v>
      </c>
      <c r="AE10" s="12">
        <f>IF(AND(AE9="Y", AD13="N"), $B7*Inputs!$B$12/12, 0)</f>
        <v>0</v>
      </c>
      <c r="AF10" s="12">
        <f>IF(AND(AF9="Y", AE13="N"), $B7*Inputs!$B$12/12, 0)</f>
        <v>0</v>
      </c>
      <c r="AG10" s="12">
        <f>IF(AND(AG9="Y", AF13="N"), $B7*Inputs!$B$12/12, 0)</f>
        <v>0</v>
      </c>
      <c r="AH10" s="12">
        <f>IF(AND(AH9="Y", AG13="N"), $B7*Inputs!$B$12/12, 0)</f>
        <v>0</v>
      </c>
      <c r="AI10" s="12">
        <f>IF(AND(AI9="Y", AH13="N"), $B7*Inputs!$B$12/12, 0)</f>
        <v>0</v>
      </c>
      <c r="AJ10" s="12">
        <f>IF(AND(AJ9="Y", AI13="N"), $B7*Inputs!$B$12/12, 0)</f>
        <v>0</v>
      </c>
      <c r="AK10" s="12">
        <f>IF(AND(AK9="Y", AJ13="N"), $B7*Inputs!$B$12/12, 0)</f>
        <v>0</v>
      </c>
      <c r="AL10" s="12">
        <f>IF(AND(AL9="Y", AK13="N"), $B7*Inputs!$B$12/12, 0)</f>
        <v>0</v>
      </c>
      <c r="AM10" s="12">
        <f>IF(AND(AM9="Y", AL13="N"), $B7*Inputs!$B$12/12, 0)</f>
        <v>0</v>
      </c>
    </row>
    <row r="11">
      <c r="A11" s="3" t="s">
        <v>151</v>
      </c>
      <c r="D11" s="12">
        <f>IF($B7=0, 0, MIN(D8, $C7))</f>
        <v>0</v>
      </c>
      <c r="E11" s="12">
        <f t="shared" ref="E11:AM11" si="2">IF($B7=0, 0, IF(D13="Y", 0, IF(E9="N", MIN(E8, $C7-D12), MIN(E8*0.5+E10, $C7-D12))))</f>
        <v>0</v>
      </c>
      <c r="F11" s="12">
        <f t="shared" si="2"/>
        <v>0</v>
      </c>
      <c r="G11" s="12">
        <f t="shared" si="2"/>
        <v>0</v>
      </c>
      <c r="H11" s="12">
        <f t="shared" si="2"/>
        <v>0</v>
      </c>
      <c r="I11" s="12">
        <f t="shared" si="2"/>
        <v>0</v>
      </c>
      <c r="J11" s="12">
        <f t="shared" si="2"/>
        <v>0</v>
      </c>
      <c r="K11" s="12">
        <f t="shared" si="2"/>
        <v>0</v>
      </c>
      <c r="L11" s="12">
        <f t="shared" si="2"/>
        <v>0</v>
      </c>
      <c r="M11" s="12">
        <f t="shared" si="2"/>
        <v>0</v>
      </c>
      <c r="N11" s="12">
        <f t="shared" si="2"/>
        <v>0</v>
      </c>
      <c r="O11" s="12">
        <f t="shared" si="2"/>
        <v>0</v>
      </c>
      <c r="P11" s="12">
        <f t="shared" si="2"/>
        <v>0</v>
      </c>
      <c r="Q11" s="12">
        <f t="shared" si="2"/>
        <v>0</v>
      </c>
      <c r="R11" s="12">
        <f t="shared" si="2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  <c r="AJ11" s="12">
        <f t="shared" si="2"/>
        <v>0</v>
      </c>
      <c r="AK11" s="12">
        <f t="shared" si="2"/>
        <v>0</v>
      </c>
      <c r="AL11" s="12">
        <f t="shared" si="2"/>
        <v>0</v>
      </c>
      <c r="AM11" s="12">
        <f t="shared" si="2"/>
        <v>0</v>
      </c>
    </row>
    <row r="12">
      <c r="A12" s="3" t="s">
        <v>152</v>
      </c>
      <c r="D12" s="12">
        <f>D11</f>
        <v>0</v>
      </c>
      <c r="E12" s="12">
        <f t="shared" ref="E12:AM12" si="3">D12+E11</f>
        <v>0</v>
      </c>
      <c r="F12" s="12">
        <f t="shared" si="3"/>
        <v>0</v>
      </c>
      <c r="G12" s="12">
        <f t="shared" si="3"/>
        <v>0</v>
      </c>
      <c r="H12" s="12">
        <f t="shared" si="3"/>
        <v>0</v>
      </c>
      <c r="I12" s="12">
        <f t="shared" si="3"/>
        <v>0</v>
      </c>
      <c r="J12" s="12">
        <f t="shared" si="3"/>
        <v>0</v>
      </c>
      <c r="K12" s="12">
        <f t="shared" si="3"/>
        <v>0</v>
      </c>
      <c r="L12" s="12">
        <f t="shared" si="3"/>
        <v>0</v>
      </c>
      <c r="M12" s="12">
        <f t="shared" si="3"/>
        <v>0</v>
      </c>
      <c r="N12" s="12">
        <f t="shared" si="3"/>
        <v>0</v>
      </c>
      <c r="O12" s="12">
        <f t="shared" si="3"/>
        <v>0</v>
      </c>
      <c r="P12" s="12">
        <f t="shared" si="3"/>
        <v>0</v>
      </c>
      <c r="Q12" s="12">
        <f t="shared" si="3"/>
        <v>0</v>
      </c>
      <c r="R12" s="12">
        <f t="shared" si="3"/>
        <v>0</v>
      </c>
      <c r="S12" s="12">
        <f t="shared" si="3"/>
        <v>0</v>
      </c>
      <c r="T12" s="12">
        <f t="shared" si="3"/>
        <v>0</v>
      </c>
      <c r="U12" s="12">
        <f t="shared" si="3"/>
        <v>0</v>
      </c>
      <c r="V12" s="12">
        <f t="shared" si="3"/>
        <v>0</v>
      </c>
      <c r="W12" s="12">
        <f t="shared" si="3"/>
        <v>0</v>
      </c>
      <c r="X12" s="12">
        <f t="shared" si="3"/>
        <v>0</v>
      </c>
      <c r="Y12" s="12">
        <f t="shared" si="3"/>
        <v>0</v>
      </c>
      <c r="Z12" s="12">
        <f t="shared" si="3"/>
        <v>0</v>
      </c>
      <c r="AA12" s="12">
        <f t="shared" si="3"/>
        <v>0</v>
      </c>
      <c r="AB12" s="12">
        <f t="shared" si="3"/>
        <v>0</v>
      </c>
      <c r="AC12" s="12">
        <f t="shared" si="3"/>
        <v>0</v>
      </c>
      <c r="AD12" s="12">
        <f t="shared" si="3"/>
        <v>0</v>
      </c>
      <c r="AE12" s="12">
        <f t="shared" si="3"/>
        <v>0</v>
      </c>
      <c r="AF12" s="12">
        <f t="shared" si="3"/>
        <v>0</v>
      </c>
      <c r="AG12" s="12">
        <f t="shared" si="3"/>
        <v>0</v>
      </c>
      <c r="AH12" s="12">
        <f t="shared" si="3"/>
        <v>0</v>
      </c>
      <c r="AI12" s="12">
        <f t="shared" si="3"/>
        <v>0</v>
      </c>
      <c r="AJ12" s="12">
        <f t="shared" si="3"/>
        <v>0</v>
      </c>
      <c r="AK12" s="12">
        <f t="shared" si="3"/>
        <v>0</v>
      </c>
      <c r="AL12" s="12">
        <f t="shared" si="3"/>
        <v>0</v>
      </c>
      <c r="AM12" s="12">
        <f t="shared" si="3"/>
        <v>0</v>
      </c>
    </row>
    <row r="13">
      <c r="A13" s="3" t="s">
        <v>153</v>
      </c>
      <c r="D13" s="3" t="str">
        <f t="shared" ref="D13:AM13" si="4">IF(D12&gt;=$C7, "Y", "N")</f>
        <v>Y</v>
      </c>
      <c r="E13" s="3" t="str">
        <f t="shared" si="4"/>
        <v>Y</v>
      </c>
      <c r="F13" s="3" t="str">
        <f t="shared" si="4"/>
        <v>Y</v>
      </c>
      <c r="G13" s="3" t="str">
        <f t="shared" si="4"/>
        <v>Y</v>
      </c>
      <c r="H13" s="3" t="str">
        <f t="shared" si="4"/>
        <v>Y</v>
      </c>
      <c r="I13" s="3" t="str">
        <f t="shared" si="4"/>
        <v>Y</v>
      </c>
      <c r="J13" s="3" t="str">
        <f t="shared" si="4"/>
        <v>Y</v>
      </c>
      <c r="K13" s="3" t="str">
        <f t="shared" si="4"/>
        <v>Y</v>
      </c>
      <c r="L13" s="3" t="str">
        <f t="shared" si="4"/>
        <v>Y</v>
      </c>
      <c r="M13" s="3" t="str">
        <f t="shared" si="4"/>
        <v>Y</v>
      </c>
      <c r="N13" s="3" t="str">
        <f t="shared" si="4"/>
        <v>Y</v>
      </c>
      <c r="O13" s="3" t="str">
        <f t="shared" si="4"/>
        <v>Y</v>
      </c>
      <c r="P13" s="3" t="str">
        <f t="shared" si="4"/>
        <v>Y</v>
      </c>
      <c r="Q13" s="3" t="str">
        <f t="shared" si="4"/>
        <v>Y</v>
      </c>
      <c r="R13" s="3" t="str">
        <f t="shared" si="4"/>
        <v>Y</v>
      </c>
      <c r="S13" s="3" t="str">
        <f t="shared" si="4"/>
        <v>Y</v>
      </c>
      <c r="T13" s="3" t="str">
        <f t="shared" si="4"/>
        <v>Y</v>
      </c>
      <c r="U13" s="3" t="str">
        <f t="shared" si="4"/>
        <v>Y</v>
      </c>
      <c r="V13" s="3" t="str">
        <f t="shared" si="4"/>
        <v>Y</v>
      </c>
      <c r="W13" s="3" t="str">
        <f t="shared" si="4"/>
        <v>Y</v>
      </c>
      <c r="X13" s="3" t="str">
        <f t="shared" si="4"/>
        <v>Y</v>
      </c>
      <c r="Y13" s="3" t="str">
        <f t="shared" si="4"/>
        <v>Y</v>
      </c>
      <c r="Z13" s="3" t="str">
        <f t="shared" si="4"/>
        <v>Y</v>
      </c>
      <c r="AA13" s="3" t="str">
        <f t="shared" si="4"/>
        <v>Y</v>
      </c>
      <c r="AB13" s="3" t="str">
        <f t="shared" si="4"/>
        <v>Y</v>
      </c>
      <c r="AC13" s="3" t="str">
        <f t="shared" si="4"/>
        <v>Y</v>
      </c>
      <c r="AD13" s="3" t="str">
        <f t="shared" si="4"/>
        <v>Y</v>
      </c>
      <c r="AE13" s="3" t="str">
        <f t="shared" si="4"/>
        <v>Y</v>
      </c>
      <c r="AF13" s="3" t="str">
        <f t="shared" si="4"/>
        <v>Y</v>
      </c>
      <c r="AG13" s="3" t="str">
        <f t="shared" si="4"/>
        <v>Y</v>
      </c>
      <c r="AH13" s="3" t="str">
        <f t="shared" si="4"/>
        <v>Y</v>
      </c>
      <c r="AI13" s="3" t="str">
        <f t="shared" si="4"/>
        <v>Y</v>
      </c>
      <c r="AJ13" s="3" t="str">
        <f t="shared" si="4"/>
        <v>Y</v>
      </c>
      <c r="AK13" s="3" t="str">
        <f t="shared" si="4"/>
        <v>Y</v>
      </c>
      <c r="AL13" s="3" t="str">
        <f t="shared" si="4"/>
        <v>Y</v>
      </c>
      <c r="AM13" s="3" t="str">
        <f t="shared" si="4"/>
        <v>Y</v>
      </c>
    </row>
    <row r="14">
      <c r="A14" s="3" t="s">
        <v>154</v>
      </c>
      <c r="D14" s="12">
        <f t="shared" ref="D14:AM14" si="5">D8-D11</f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0</v>
      </c>
      <c r="U14" s="12">
        <f t="shared" si="5"/>
        <v>0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0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si="5"/>
        <v>0</v>
      </c>
      <c r="AJ14" s="12">
        <f t="shared" si="5"/>
        <v>0</v>
      </c>
      <c r="AK14" s="12">
        <f t="shared" si="5"/>
        <v>0</v>
      </c>
      <c r="AL14" s="12">
        <f t="shared" si="5"/>
        <v>0</v>
      </c>
      <c r="AM14" s="12">
        <f t="shared" si="5"/>
        <v>0</v>
      </c>
    </row>
    <row r="16">
      <c r="A16" s="2" t="str">
        <f>Acquisition_Plan!A5</f>
        <v>2026-03-03</v>
      </c>
      <c r="B16" s="12">
        <f>Acquisition_Plan!E5</f>
        <v>0</v>
      </c>
      <c r="C16" s="12">
        <f>B16*(1+Inputs!$B$12)</f>
        <v>0</v>
      </c>
    </row>
    <row r="17">
      <c r="A17" s="3" t="s">
        <v>147</v>
      </c>
      <c r="D17" s="3">
        <v>0.0</v>
      </c>
      <c r="E17" s="12">
        <f>$B16*Inputs!$B$15*Curves!C5*(1-Inputs!$B$16)</f>
        <v>0</v>
      </c>
      <c r="F17" s="12">
        <f>$B16*Inputs!$B$15*Curves!C6*(1-Inputs!$B$16)</f>
        <v>0</v>
      </c>
      <c r="G17" s="12">
        <f>$B16*Inputs!$B$15*Curves!C7*(1-Inputs!$B$16)</f>
        <v>0</v>
      </c>
      <c r="H17" s="12">
        <f>$B16*Inputs!$B$15*Curves!C8*(1-Inputs!$B$16)</f>
        <v>0</v>
      </c>
      <c r="I17" s="12">
        <f>$B16*Inputs!$B$15*Curves!C9*(1-Inputs!$B$16)</f>
        <v>0</v>
      </c>
      <c r="J17" s="12">
        <f>$B16*Inputs!$B$15*Curves!C10*(1-Inputs!$B$16)</f>
        <v>0</v>
      </c>
      <c r="K17" s="12">
        <f>$B16*Inputs!$B$15*Curves!C11*(1-Inputs!$B$16)</f>
        <v>0</v>
      </c>
      <c r="L17" s="12">
        <f>$B16*Inputs!$B$15*Curves!C12*(1-Inputs!$B$16)</f>
        <v>0</v>
      </c>
      <c r="M17" s="12">
        <f>$B16*Inputs!$B$15*Curves!C13*(1-Inputs!$B$16)</f>
        <v>0</v>
      </c>
      <c r="N17" s="12">
        <f>$B16*Inputs!$B$15*Curves!C14*(1-Inputs!$B$16)</f>
        <v>0</v>
      </c>
      <c r="O17" s="12">
        <f>$B16*Inputs!$B$15*Curves!C15*(1-Inputs!$B$16)</f>
        <v>0</v>
      </c>
      <c r="P17" s="12">
        <f>$B16*Inputs!$B$15*Curves!C16*(1-Inputs!$B$16)</f>
        <v>0</v>
      </c>
      <c r="Q17" s="12">
        <f>$B16*Inputs!$B$15*Curves!C17*(1-Inputs!$B$16)</f>
        <v>0</v>
      </c>
      <c r="R17" s="12">
        <f>$B16*Inputs!$B$15*Curves!C18*(1-Inputs!$B$16)</f>
        <v>0</v>
      </c>
      <c r="S17" s="12">
        <f>$B16*Inputs!$B$15*Curves!C19*(1-Inputs!$B$16)</f>
        <v>0</v>
      </c>
      <c r="T17" s="12">
        <f>$B16*Inputs!$B$15*Curves!C20*(1-Inputs!$B$16)</f>
        <v>0</v>
      </c>
      <c r="U17" s="12">
        <f>$B16*Inputs!$B$15*Curves!C21*(1-Inputs!$B$16)</f>
        <v>0</v>
      </c>
      <c r="V17" s="12">
        <f>$B16*Inputs!$B$15*Curves!C22*(1-Inputs!$B$16)</f>
        <v>0</v>
      </c>
      <c r="W17" s="12">
        <f>$B16*Inputs!$B$15*Curves!C23*(1-Inputs!$B$16)</f>
        <v>0</v>
      </c>
      <c r="X17" s="12">
        <f>$B16*Inputs!$B$15*Curves!C24*(1-Inputs!$B$16)</f>
        <v>0</v>
      </c>
      <c r="Y17" s="12">
        <f>$B16*Inputs!$B$15*Curves!C25*(1-Inputs!$B$16)</f>
        <v>0</v>
      </c>
      <c r="Z17" s="12">
        <f>$B16*Inputs!$B$15*Curves!C26*(1-Inputs!$B$16)</f>
        <v>0</v>
      </c>
      <c r="AA17" s="12">
        <f>$B16*Inputs!$B$15*Curves!C27*(1-Inputs!$B$16)</f>
        <v>0</v>
      </c>
      <c r="AB17" s="12">
        <f>$B16*Inputs!$B$15*Curves!C28*(1-Inputs!$B$16)</f>
        <v>0</v>
      </c>
      <c r="AC17" s="12">
        <f>$B16*Inputs!$B$15*Curves!C29*(1-Inputs!$B$16)</f>
        <v>0</v>
      </c>
      <c r="AD17" s="12">
        <f>$B16*Inputs!$B$15*Curves!C30*(1-Inputs!$B$16)</f>
        <v>0</v>
      </c>
      <c r="AE17" s="12">
        <f>$B16*Inputs!$B$15*Curves!C31*(1-Inputs!$B$16)</f>
        <v>0</v>
      </c>
      <c r="AF17" s="12">
        <f>$B16*Inputs!$B$15*Curves!C32*(1-Inputs!$B$16)</f>
        <v>0</v>
      </c>
      <c r="AG17" s="12">
        <f>$B16*Inputs!$B$15*Curves!C33*(1-Inputs!$B$16)</f>
        <v>0</v>
      </c>
      <c r="AH17" s="12">
        <f>$B16*Inputs!$B$15*Curves!C34*(1-Inputs!$B$16)</f>
        <v>0</v>
      </c>
      <c r="AI17" s="12">
        <f>$B16*Inputs!$B$15*Curves!C35*(1-Inputs!$B$16)</f>
        <v>0</v>
      </c>
      <c r="AJ17" s="12">
        <f>$B16*Inputs!$B$15*Curves!C36*(1-Inputs!$B$16)</f>
        <v>0</v>
      </c>
      <c r="AK17" s="12">
        <f>$B16*Inputs!$B$15*Curves!C37*(1-Inputs!$B$16)</f>
        <v>0</v>
      </c>
      <c r="AL17" s="12">
        <f>$B16*Inputs!$B$15*Curves!C38*(1-Inputs!$B$16)</f>
        <v>0</v>
      </c>
      <c r="AM17" s="12">
        <f>$B16*Inputs!$B$15*Curves!C39*(1-Inputs!$B$16)</f>
        <v>0</v>
      </c>
    </row>
    <row r="18">
      <c r="A18" s="3" t="s">
        <v>148</v>
      </c>
      <c r="D18" s="3">
        <v>0.0</v>
      </c>
      <c r="E18" s="3" t="s">
        <v>149</v>
      </c>
      <c r="F18" s="3" t="str">
        <f t="shared" ref="F18:AM18" si="6">IF($B16=0, "N", IF(E21&gt;=$B16, "Y", "N"))</f>
        <v>N</v>
      </c>
      <c r="G18" s="3" t="str">
        <f t="shared" si="6"/>
        <v>N</v>
      </c>
      <c r="H18" s="3" t="str">
        <f t="shared" si="6"/>
        <v>N</v>
      </c>
      <c r="I18" s="3" t="str">
        <f t="shared" si="6"/>
        <v>N</v>
      </c>
      <c r="J18" s="3" t="str">
        <f t="shared" si="6"/>
        <v>N</v>
      </c>
      <c r="K18" s="3" t="str">
        <f t="shared" si="6"/>
        <v>N</v>
      </c>
      <c r="L18" s="3" t="str">
        <f t="shared" si="6"/>
        <v>N</v>
      </c>
      <c r="M18" s="3" t="str">
        <f t="shared" si="6"/>
        <v>N</v>
      </c>
      <c r="N18" s="3" t="str">
        <f t="shared" si="6"/>
        <v>N</v>
      </c>
      <c r="O18" s="3" t="str">
        <f t="shared" si="6"/>
        <v>N</v>
      </c>
      <c r="P18" s="3" t="str">
        <f t="shared" si="6"/>
        <v>N</v>
      </c>
      <c r="Q18" s="3" t="str">
        <f t="shared" si="6"/>
        <v>N</v>
      </c>
      <c r="R18" s="3" t="str">
        <f t="shared" si="6"/>
        <v>N</v>
      </c>
      <c r="S18" s="3" t="str">
        <f t="shared" si="6"/>
        <v>N</v>
      </c>
      <c r="T18" s="3" t="str">
        <f t="shared" si="6"/>
        <v>N</v>
      </c>
      <c r="U18" s="3" t="str">
        <f t="shared" si="6"/>
        <v>N</v>
      </c>
      <c r="V18" s="3" t="str">
        <f t="shared" si="6"/>
        <v>N</v>
      </c>
      <c r="W18" s="3" t="str">
        <f t="shared" si="6"/>
        <v>N</v>
      </c>
      <c r="X18" s="3" t="str">
        <f t="shared" si="6"/>
        <v>N</v>
      </c>
      <c r="Y18" s="3" t="str">
        <f t="shared" si="6"/>
        <v>N</v>
      </c>
      <c r="Z18" s="3" t="str">
        <f t="shared" si="6"/>
        <v>N</v>
      </c>
      <c r="AA18" s="3" t="str">
        <f t="shared" si="6"/>
        <v>N</v>
      </c>
      <c r="AB18" s="3" t="str">
        <f t="shared" si="6"/>
        <v>N</v>
      </c>
      <c r="AC18" s="3" t="str">
        <f t="shared" si="6"/>
        <v>N</v>
      </c>
      <c r="AD18" s="3" t="str">
        <f t="shared" si="6"/>
        <v>N</v>
      </c>
      <c r="AE18" s="3" t="str">
        <f t="shared" si="6"/>
        <v>N</v>
      </c>
      <c r="AF18" s="3" t="str">
        <f t="shared" si="6"/>
        <v>N</v>
      </c>
      <c r="AG18" s="3" t="str">
        <f t="shared" si="6"/>
        <v>N</v>
      </c>
      <c r="AH18" s="3" t="str">
        <f t="shared" si="6"/>
        <v>N</v>
      </c>
      <c r="AI18" s="3" t="str">
        <f t="shared" si="6"/>
        <v>N</v>
      </c>
      <c r="AJ18" s="3" t="str">
        <f t="shared" si="6"/>
        <v>N</v>
      </c>
      <c r="AK18" s="3" t="str">
        <f t="shared" si="6"/>
        <v>N</v>
      </c>
      <c r="AL18" s="3" t="str">
        <f t="shared" si="6"/>
        <v>N</v>
      </c>
      <c r="AM18" s="3" t="str">
        <f t="shared" si="6"/>
        <v>N</v>
      </c>
    </row>
    <row r="19">
      <c r="A19" s="3" t="s">
        <v>150</v>
      </c>
      <c r="D19" s="3">
        <v>0.0</v>
      </c>
      <c r="E19" s="12">
        <v>0.0</v>
      </c>
      <c r="F19" s="12">
        <f>IF(AND(F18="Y", E22="N"), $B16*Inputs!$B$12/12, 0)</f>
        <v>0</v>
      </c>
      <c r="G19" s="12">
        <f>IF(AND(G18="Y", F22="N"), $B16*Inputs!$B$12/12, 0)</f>
        <v>0</v>
      </c>
      <c r="H19" s="12">
        <f>IF(AND(H18="Y", G22="N"), $B16*Inputs!$B$12/12, 0)</f>
        <v>0</v>
      </c>
      <c r="I19" s="12">
        <f>IF(AND(I18="Y", H22="N"), $B16*Inputs!$B$12/12, 0)</f>
        <v>0</v>
      </c>
      <c r="J19" s="12">
        <f>IF(AND(J18="Y", I22="N"), $B16*Inputs!$B$12/12, 0)</f>
        <v>0</v>
      </c>
      <c r="K19" s="12">
        <f>IF(AND(K18="Y", J22="N"), $B16*Inputs!$B$12/12, 0)</f>
        <v>0</v>
      </c>
      <c r="L19" s="12">
        <f>IF(AND(L18="Y", K22="N"), $B16*Inputs!$B$12/12, 0)</f>
        <v>0</v>
      </c>
      <c r="M19" s="12">
        <f>IF(AND(M18="Y", L22="N"), $B16*Inputs!$B$12/12, 0)</f>
        <v>0</v>
      </c>
      <c r="N19" s="12">
        <f>IF(AND(N18="Y", M22="N"), $B16*Inputs!$B$12/12, 0)</f>
        <v>0</v>
      </c>
      <c r="O19" s="12">
        <f>IF(AND(O18="Y", N22="N"), $B16*Inputs!$B$12/12, 0)</f>
        <v>0</v>
      </c>
      <c r="P19" s="12">
        <f>IF(AND(P18="Y", O22="N"), $B16*Inputs!$B$12/12, 0)</f>
        <v>0</v>
      </c>
      <c r="Q19" s="12">
        <f>IF(AND(Q18="Y", P22="N"), $B16*Inputs!$B$12/12, 0)</f>
        <v>0</v>
      </c>
      <c r="R19" s="12">
        <f>IF(AND(R18="Y", Q22="N"), $B16*Inputs!$B$12/12, 0)</f>
        <v>0</v>
      </c>
      <c r="S19" s="12">
        <f>IF(AND(S18="Y", R22="N"), $B16*Inputs!$B$12/12, 0)</f>
        <v>0</v>
      </c>
      <c r="T19" s="12">
        <f>IF(AND(T18="Y", S22="N"), $B16*Inputs!$B$12/12, 0)</f>
        <v>0</v>
      </c>
      <c r="U19" s="12">
        <f>IF(AND(U18="Y", T22="N"), $B16*Inputs!$B$12/12, 0)</f>
        <v>0</v>
      </c>
      <c r="V19" s="12">
        <f>IF(AND(V18="Y", U22="N"), $B16*Inputs!$B$12/12, 0)</f>
        <v>0</v>
      </c>
      <c r="W19" s="12">
        <f>IF(AND(W18="Y", V22="N"), $B16*Inputs!$B$12/12, 0)</f>
        <v>0</v>
      </c>
      <c r="X19" s="12">
        <f>IF(AND(X18="Y", W22="N"), $B16*Inputs!$B$12/12, 0)</f>
        <v>0</v>
      </c>
      <c r="Y19" s="12">
        <f>IF(AND(Y18="Y", X22="N"), $B16*Inputs!$B$12/12, 0)</f>
        <v>0</v>
      </c>
      <c r="Z19" s="12">
        <f>IF(AND(Z18="Y", Y22="N"), $B16*Inputs!$B$12/12, 0)</f>
        <v>0</v>
      </c>
      <c r="AA19" s="12">
        <f>IF(AND(AA18="Y", Z22="N"), $B16*Inputs!$B$12/12, 0)</f>
        <v>0</v>
      </c>
      <c r="AB19" s="12">
        <f>IF(AND(AB18="Y", AA22="N"), $B16*Inputs!$B$12/12, 0)</f>
        <v>0</v>
      </c>
      <c r="AC19" s="12">
        <f>IF(AND(AC18="Y", AB22="N"), $B16*Inputs!$B$12/12, 0)</f>
        <v>0</v>
      </c>
      <c r="AD19" s="12">
        <f>IF(AND(AD18="Y", AC22="N"), $B16*Inputs!$B$12/12, 0)</f>
        <v>0</v>
      </c>
      <c r="AE19" s="12">
        <f>IF(AND(AE18="Y", AD22="N"), $B16*Inputs!$B$12/12, 0)</f>
        <v>0</v>
      </c>
      <c r="AF19" s="12">
        <f>IF(AND(AF18="Y", AE22="N"), $B16*Inputs!$B$12/12, 0)</f>
        <v>0</v>
      </c>
      <c r="AG19" s="12">
        <f>IF(AND(AG18="Y", AF22="N"), $B16*Inputs!$B$12/12, 0)</f>
        <v>0</v>
      </c>
      <c r="AH19" s="12">
        <f>IF(AND(AH18="Y", AG22="N"), $B16*Inputs!$B$12/12, 0)</f>
        <v>0</v>
      </c>
      <c r="AI19" s="12">
        <f>IF(AND(AI18="Y", AH22="N"), $B16*Inputs!$B$12/12, 0)</f>
        <v>0</v>
      </c>
      <c r="AJ19" s="12">
        <f>IF(AND(AJ18="Y", AI22="N"), $B16*Inputs!$B$12/12, 0)</f>
        <v>0</v>
      </c>
      <c r="AK19" s="12">
        <f>IF(AND(AK18="Y", AJ22="N"), $B16*Inputs!$B$12/12, 0)</f>
        <v>0</v>
      </c>
      <c r="AL19" s="12">
        <f>IF(AND(AL18="Y", AK22="N"), $B16*Inputs!$B$12/12, 0)</f>
        <v>0</v>
      </c>
      <c r="AM19" s="12">
        <f>IF(AND(AM18="Y", AL22="N"), $B16*Inputs!$B$12/12, 0)</f>
        <v>0</v>
      </c>
    </row>
    <row r="20">
      <c r="A20" s="3" t="s">
        <v>151</v>
      </c>
      <c r="D20" s="3">
        <v>0.0</v>
      </c>
      <c r="E20" s="12">
        <f>IF($B16=0, 0, MIN(E17, $C16))</f>
        <v>0</v>
      </c>
      <c r="F20" s="12">
        <f t="shared" ref="F20:AM20" si="7">IF($B16=0, 0, IF(E22="Y", 0, IF(F18="N", MIN(F17, $C16-E21), MIN(F17*0.5+F19, $C16-E21))))</f>
        <v>0</v>
      </c>
      <c r="G20" s="12">
        <f t="shared" si="7"/>
        <v>0</v>
      </c>
      <c r="H20" s="12">
        <f t="shared" si="7"/>
        <v>0</v>
      </c>
      <c r="I20" s="12">
        <f t="shared" si="7"/>
        <v>0</v>
      </c>
      <c r="J20" s="12">
        <f t="shared" si="7"/>
        <v>0</v>
      </c>
      <c r="K20" s="12">
        <f t="shared" si="7"/>
        <v>0</v>
      </c>
      <c r="L20" s="12">
        <f t="shared" si="7"/>
        <v>0</v>
      </c>
      <c r="M20" s="12">
        <f t="shared" si="7"/>
        <v>0</v>
      </c>
      <c r="N20" s="12">
        <f t="shared" si="7"/>
        <v>0</v>
      </c>
      <c r="O20" s="12">
        <f t="shared" si="7"/>
        <v>0</v>
      </c>
      <c r="P20" s="12">
        <f t="shared" si="7"/>
        <v>0</v>
      </c>
      <c r="Q20" s="12">
        <f t="shared" si="7"/>
        <v>0</v>
      </c>
      <c r="R20" s="12">
        <f t="shared" si="7"/>
        <v>0</v>
      </c>
      <c r="S20" s="12">
        <f t="shared" si="7"/>
        <v>0</v>
      </c>
      <c r="T20" s="12">
        <f t="shared" si="7"/>
        <v>0</v>
      </c>
      <c r="U20" s="12">
        <f t="shared" si="7"/>
        <v>0</v>
      </c>
      <c r="V20" s="12">
        <f t="shared" si="7"/>
        <v>0</v>
      </c>
      <c r="W20" s="12">
        <f t="shared" si="7"/>
        <v>0</v>
      </c>
      <c r="X20" s="12">
        <f t="shared" si="7"/>
        <v>0</v>
      </c>
      <c r="Y20" s="12">
        <f t="shared" si="7"/>
        <v>0</v>
      </c>
      <c r="Z20" s="12">
        <f t="shared" si="7"/>
        <v>0</v>
      </c>
      <c r="AA20" s="12">
        <f t="shared" si="7"/>
        <v>0</v>
      </c>
      <c r="AB20" s="12">
        <f t="shared" si="7"/>
        <v>0</v>
      </c>
      <c r="AC20" s="12">
        <f t="shared" si="7"/>
        <v>0</v>
      </c>
      <c r="AD20" s="12">
        <f t="shared" si="7"/>
        <v>0</v>
      </c>
      <c r="AE20" s="12">
        <f t="shared" si="7"/>
        <v>0</v>
      </c>
      <c r="AF20" s="12">
        <f t="shared" si="7"/>
        <v>0</v>
      </c>
      <c r="AG20" s="12">
        <f t="shared" si="7"/>
        <v>0</v>
      </c>
      <c r="AH20" s="12">
        <f t="shared" si="7"/>
        <v>0</v>
      </c>
      <c r="AI20" s="12">
        <f t="shared" si="7"/>
        <v>0</v>
      </c>
      <c r="AJ20" s="12">
        <f t="shared" si="7"/>
        <v>0</v>
      </c>
      <c r="AK20" s="12">
        <f t="shared" si="7"/>
        <v>0</v>
      </c>
      <c r="AL20" s="12">
        <f t="shared" si="7"/>
        <v>0</v>
      </c>
      <c r="AM20" s="12">
        <f t="shared" si="7"/>
        <v>0</v>
      </c>
    </row>
    <row r="21" ht="15.75" customHeight="1">
      <c r="A21" s="3" t="s">
        <v>152</v>
      </c>
      <c r="D21" s="3">
        <v>0.0</v>
      </c>
      <c r="E21" s="12">
        <f>E20</f>
        <v>0</v>
      </c>
      <c r="F21" s="12">
        <f t="shared" ref="F21:AM21" si="8">E21+F20</f>
        <v>0</v>
      </c>
      <c r="G21" s="12">
        <f t="shared" si="8"/>
        <v>0</v>
      </c>
      <c r="H21" s="12">
        <f t="shared" si="8"/>
        <v>0</v>
      </c>
      <c r="I21" s="12">
        <f t="shared" si="8"/>
        <v>0</v>
      </c>
      <c r="J21" s="12">
        <f t="shared" si="8"/>
        <v>0</v>
      </c>
      <c r="K21" s="12">
        <f t="shared" si="8"/>
        <v>0</v>
      </c>
      <c r="L21" s="12">
        <f t="shared" si="8"/>
        <v>0</v>
      </c>
      <c r="M21" s="12">
        <f t="shared" si="8"/>
        <v>0</v>
      </c>
      <c r="N21" s="12">
        <f t="shared" si="8"/>
        <v>0</v>
      </c>
      <c r="O21" s="12">
        <f t="shared" si="8"/>
        <v>0</v>
      </c>
      <c r="P21" s="12">
        <f t="shared" si="8"/>
        <v>0</v>
      </c>
      <c r="Q21" s="12">
        <f t="shared" si="8"/>
        <v>0</v>
      </c>
      <c r="R21" s="12">
        <f t="shared" si="8"/>
        <v>0</v>
      </c>
      <c r="S21" s="12">
        <f t="shared" si="8"/>
        <v>0</v>
      </c>
      <c r="T21" s="12">
        <f t="shared" si="8"/>
        <v>0</v>
      </c>
      <c r="U21" s="12">
        <f t="shared" si="8"/>
        <v>0</v>
      </c>
      <c r="V21" s="12">
        <f t="shared" si="8"/>
        <v>0</v>
      </c>
      <c r="W21" s="12">
        <f t="shared" si="8"/>
        <v>0</v>
      </c>
      <c r="X21" s="12">
        <f t="shared" si="8"/>
        <v>0</v>
      </c>
      <c r="Y21" s="12">
        <f t="shared" si="8"/>
        <v>0</v>
      </c>
      <c r="Z21" s="12">
        <f t="shared" si="8"/>
        <v>0</v>
      </c>
      <c r="AA21" s="12">
        <f t="shared" si="8"/>
        <v>0</v>
      </c>
      <c r="AB21" s="12">
        <f t="shared" si="8"/>
        <v>0</v>
      </c>
      <c r="AC21" s="12">
        <f t="shared" si="8"/>
        <v>0</v>
      </c>
      <c r="AD21" s="12">
        <f t="shared" si="8"/>
        <v>0</v>
      </c>
      <c r="AE21" s="12">
        <f t="shared" si="8"/>
        <v>0</v>
      </c>
      <c r="AF21" s="12">
        <f t="shared" si="8"/>
        <v>0</v>
      </c>
      <c r="AG21" s="12">
        <f t="shared" si="8"/>
        <v>0</v>
      </c>
      <c r="AH21" s="12">
        <f t="shared" si="8"/>
        <v>0</v>
      </c>
      <c r="AI21" s="12">
        <f t="shared" si="8"/>
        <v>0</v>
      </c>
      <c r="AJ21" s="12">
        <f t="shared" si="8"/>
        <v>0</v>
      </c>
      <c r="AK21" s="12">
        <f t="shared" si="8"/>
        <v>0</v>
      </c>
      <c r="AL21" s="12">
        <f t="shared" si="8"/>
        <v>0</v>
      </c>
      <c r="AM21" s="12">
        <f t="shared" si="8"/>
        <v>0</v>
      </c>
    </row>
    <row r="22" ht="15.75" customHeight="1">
      <c r="A22" s="3" t="s">
        <v>153</v>
      </c>
      <c r="D22" s="3">
        <v>0.0</v>
      </c>
      <c r="E22" s="3" t="str">
        <f t="shared" ref="E22:AM22" si="9">IF(E21&gt;=$C16, "Y", "N")</f>
        <v>Y</v>
      </c>
      <c r="F22" s="3" t="str">
        <f t="shared" si="9"/>
        <v>Y</v>
      </c>
      <c r="G22" s="3" t="str">
        <f t="shared" si="9"/>
        <v>Y</v>
      </c>
      <c r="H22" s="3" t="str">
        <f t="shared" si="9"/>
        <v>Y</v>
      </c>
      <c r="I22" s="3" t="str">
        <f t="shared" si="9"/>
        <v>Y</v>
      </c>
      <c r="J22" s="3" t="str">
        <f t="shared" si="9"/>
        <v>Y</v>
      </c>
      <c r="K22" s="3" t="str">
        <f t="shared" si="9"/>
        <v>Y</v>
      </c>
      <c r="L22" s="3" t="str">
        <f t="shared" si="9"/>
        <v>Y</v>
      </c>
      <c r="M22" s="3" t="str">
        <f t="shared" si="9"/>
        <v>Y</v>
      </c>
      <c r="N22" s="3" t="str">
        <f t="shared" si="9"/>
        <v>Y</v>
      </c>
      <c r="O22" s="3" t="str">
        <f t="shared" si="9"/>
        <v>Y</v>
      </c>
      <c r="P22" s="3" t="str">
        <f t="shared" si="9"/>
        <v>Y</v>
      </c>
      <c r="Q22" s="3" t="str">
        <f t="shared" si="9"/>
        <v>Y</v>
      </c>
      <c r="R22" s="3" t="str">
        <f t="shared" si="9"/>
        <v>Y</v>
      </c>
      <c r="S22" s="3" t="str">
        <f t="shared" si="9"/>
        <v>Y</v>
      </c>
      <c r="T22" s="3" t="str">
        <f t="shared" si="9"/>
        <v>Y</v>
      </c>
      <c r="U22" s="3" t="str">
        <f t="shared" si="9"/>
        <v>Y</v>
      </c>
      <c r="V22" s="3" t="str">
        <f t="shared" si="9"/>
        <v>Y</v>
      </c>
      <c r="W22" s="3" t="str">
        <f t="shared" si="9"/>
        <v>Y</v>
      </c>
      <c r="X22" s="3" t="str">
        <f t="shared" si="9"/>
        <v>Y</v>
      </c>
      <c r="Y22" s="3" t="str">
        <f t="shared" si="9"/>
        <v>Y</v>
      </c>
      <c r="Z22" s="3" t="str">
        <f t="shared" si="9"/>
        <v>Y</v>
      </c>
      <c r="AA22" s="3" t="str">
        <f t="shared" si="9"/>
        <v>Y</v>
      </c>
      <c r="AB22" s="3" t="str">
        <f t="shared" si="9"/>
        <v>Y</v>
      </c>
      <c r="AC22" s="3" t="str">
        <f t="shared" si="9"/>
        <v>Y</v>
      </c>
      <c r="AD22" s="3" t="str">
        <f t="shared" si="9"/>
        <v>Y</v>
      </c>
      <c r="AE22" s="3" t="str">
        <f t="shared" si="9"/>
        <v>Y</v>
      </c>
      <c r="AF22" s="3" t="str">
        <f t="shared" si="9"/>
        <v>Y</v>
      </c>
      <c r="AG22" s="3" t="str">
        <f t="shared" si="9"/>
        <v>Y</v>
      </c>
      <c r="AH22" s="3" t="str">
        <f t="shared" si="9"/>
        <v>Y</v>
      </c>
      <c r="AI22" s="3" t="str">
        <f t="shared" si="9"/>
        <v>Y</v>
      </c>
      <c r="AJ22" s="3" t="str">
        <f t="shared" si="9"/>
        <v>Y</v>
      </c>
      <c r="AK22" s="3" t="str">
        <f t="shared" si="9"/>
        <v>Y</v>
      </c>
      <c r="AL22" s="3" t="str">
        <f t="shared" si="9"/>
        <v>Y</v>
      </c>
      <c r="AM22" s="3" t="str">
        <f t="shared" si="9"/>
        <v>Y</v>
      </c>
    </row>
    <row r="23" ht="15.75" customHeight="1">
      <c r="A23" s="3" t="s">
        <v>154</v>
      </c>
      <c r="D23" s="3">
        <v>0.0</v>
      </c>
      <c r="E23" s="12">
        <f t="shared" ref="E23:AM23" si="10">E17-E20</f>
        <v>0</v>
      </c>
      <c r="F23" s="12">
        <f t="shared" si="10"/>
        <v>0</v>
      </c>
      <c r="G23" s="12">
        <f t="shared" si="10"/>
        <v>0</v>
      </c>
      <c r="H23" s="12">
        <f t="shared" si="10"/>
        <v>0</v>
      </c>
      <c r="I23" s="12">
        <f t="shared" si="10"/>
        <v>0</v>
      </c>
      <c r="J23" s="12">
        <f t="shared" si="10"/>
        <v>0</v>
      </c>
      <c r="K23" s="12">
        <f t="shared" si="10"/>
        <v>0</v>
      </c>
      <c r="L23" s="12">
        <f t="shared" si="10"/>
        <v>0</v>
      </c>
      <c r="M23" s="12">
        <f t="shared" si="10"/>
        <v>0</v>
      </c>
      <c r="N23" s="12">
        <f t="shared" si="10"/>
        <v>0</v>
      </c>
      <c r="O23" s="12">
        <f t="shared" si="10"/>
        <v>0</v>
      </c>
      <c r="P23" s="12">
        <f t="shared" si="10"/>
        <v>0</v>
      </c>
      <c r="Q23" s="12">
        <f t="shared" si="10"/>
        <v>0</v>
      </c>
      <c r="R23" s="12">
        <f t="shared" si="10"/>
        <v>0</v>
      </c>
      <c r="S23" s="12">
        <f t="shared" si="10"/>
        <v>0</v>
      </c>
      <c r="T23" s="12">
        <f t="shared" si="10"/>
        <v>0</v>
      </c>
      <c r="U23" s="12">
        <f t="shared" si="10"/>
        <v>0</v>
      </c>
      <c r="V23" s="12">
        <f t="shared" si="10"/>
        <v>0</v>
      </c>
      <c r="W23" s="12">
        <f t="shared" si="10"/>
        <v>0</v>
      </c>
      <c r="X23" s="12">
        <f t="shared" si="10"/>
        <v>0</v>
      </c>
      <c r="Y23" s="12">
        <f t="shared" si="10"/>
        <v>0</v>
      </c>
      <c r="Z23" s="12">
        <f t="shared" si="10"/>
        <v>0</v>
      </c>
      <c r="AA23" s="12">
        <f t="shared" si="10"/>
        <v>0</v>
      </c>
      <c r="AB23" s="12">
        <f t="shared" si="10"/>
        <v>0</v>
      </c>
      <c r="AC23" s="12">
        <f t="shared" si="10"/>
        <v>0</v>
      </c>
      <c r="AD23" s="12">
        <f t="shared" si="10"/>
        <v>0</v>
      </c>
      <c r="AE23" s="12">
        <f t="shared" si="10"/>
        <v>0</v>
      </c>
      <c r="AF23" s="12">
        <f t="shared" si="10"/>
        <v>0</v>
      </c>
      <c r="AG23" s="12">
        <f t="shared" si="10"/>
        <v>0</v>
      </c>
      <c r="AH23" s="12">
        <f t="shared" si="10"/>
        <v>0</v>
      </c>
      <c r="AI23" s="12">
        <f t="shared" si="10"/>
        <v>0</v>
      </c>
      <c r="AJ23" s="12">
        <f t="shared" si="10"/>
        <v>0</v>
      </c>
      <c r="AK23" s="12">
        <f t="shared" si="10"/>
        <v>0</v>
      </c>
      <c r="AL23" s="12">
        <f t="shared" si="10"/>
        <v>0</v>
      </c>
      <c r="AM23" s="12">
        <f t="shared" si="10"/>
        <v>0</v>
      </c>
    </row>
    <row r="24" ht="15.75" customHeight="1"/>
    <row r="25" ht="15.75" customHeight="1">
      <c r="A25" s="2" t="str">
        <f>Acquisition_Plan!A6</f>
        <v>2026-04-02</v>
      </c>
      <c r="B25" s="12">
        <f>Acquisition_Plan!E6</f>
        <v>150000</v>
      </c>
      <c r="C25" s="12">
        <f>B25*(1+Inputs!$B$12)</f>
        <v>157500</v>
      </c>
    </row>
    <row r="26" ht="15.75" customHeight="1">
      <c r="A26" s="3" t="s">
        <v>147</v>
      </c>
      <c r="D26" s="3">
        <v>0.0</v>
      </c>
      <c r="E26" s="3">
        <v>0.0</v>
      </c>
      <c r="F26" s="12">
        <f>$B25*Inputs!$B$15*Curves!C5*(1-Inputs!$B$16)</f>
        <v>81748.18143</v>
      </c>
      <c r="G26" s="12">
        <f>$B25*Inputs!$B$15*Curves!C6*(1-Inputs!$B$16)</f>
        <v>38980.33325</v>
      </c>
      <c r="H26" s="12">
        <f>$B25*Inputs!$B$15*Curves!C7*(1-Inputs!$B$16)</f>
        <v>24986.79633</v>
      </c>
      <c r="I26" s="12">
        <f>$B25*Inputs!$B$15*Curves!C8*(1-Inputs!$B$16)</f>
        <v>17579.70945</v>
      </c>
      <c r="J26" s="12">
        <f>$B25*Inputs!$B$15*Curves!C9*(1-Inputs!$B$16)</f>
        <v>10451.66143</v>
      </c>
      <c r="K26" s="12">
        <f>$B25*Inputs!$B$15*Curves!C10*(1-Inputs!$B$16)</f>
        <v>9369.137441</v>
      </c>
      <c r="L26" s="12">
        <f>$B25*Inputs!$B$15*Curves!C11*(1-Inputs!$B$16)</f>
        <v>8091.604073</v>
      </c>
      <c r="M26" s="12">
        <f>$B25*Inputs!$B$15*Curves!C12*(1-Inputs!$B$16)</f>
        <v>7149.384051</v>
      </c>
      <c r="N26" s="12">
        <f>$B25*Inputs!$B$15*Curves!C13*(1-Inputs!$B$16)</f>
        <v>6391.262571</v>
      </c>
      <c r="O26" s="12">
        <f>$B25*Inputs!$B$15*Curves!C14*(1-Inputs!$B$16)</f>
        <v>7426.929966</v>
      </c>
      <c r="P26" s="12">
        <f>$B25*Inputs!$B$15*Curves!C15*(1-Inputs!$B$16)</f>
        <v>5175</v>
      </c>
      <c r="Q26" s="12">
        <f>$B25*Inputs!$B$15*Curves!C16*(1-Inputs!$B$16)</f>
        <v>5175</v>
      </c>
      <c r="R26" s="12">
        <f>$B25*Inputs!$B$15*Curves!C17*(1-Inputs!$B$16)</f>
        <v>5175</v>
      </c>
      <c r="S26" s="12">
        <f>$B25*Inputs!$B$15*Curves!C18*(1-Inputs!$B$16)</f>
        <v>1293.75</v>
      </c>
      <c r="T26" s="12">
        <f>$B25*Inputs!$B$15*Curves!C19*(1-Inputs!$B$16)</f>
        <v>1293.75</v>
      </c>
      <c r="U26" s="12">
        <f>$B25*Inputs!$B$15*Curves!C20*(1-Inputs!$B$16)</f>
        <v>1293.75</v>
      </c>
      <c r="V26" s="12">
        <f>$B25*Inputs!$B$15*Curves!C21*(1-Inputs!$B$16)</f>
        <v>1293.75</v>
      </c>
      <c r="W26" s="12">
        <f>$B25*Inputs!$B$15*Curves!C22*(1-Inputs!$B$16)</f>
        <v>1293.75</v>
      </c>
      <c r="X26" s="12">
        <f>$B25*Inputs!$B$15*Curves!C23*(1-Inputs!$B$16)</f>
        <v>1293.75</v>
      </c>
      <c r="Y26" s="12">
        <f>$B25*Inputs!$B$15*Curves!C24*(1-Inputs!$B$16)</f>
        <v>1293.75</v>
      </c>
      <c r="Z26" s="12">
        <f>$B25*Inputs!$B$15*Curves!C25*(1-Inputs!$B$16)</f>
        <v>1293.75</v>
      </c>
      <c r="AA26" s="12">
        <f>$B25*Inputs!$B$15*Curves!C26*(1-Inputs!$B$16)</f>
        <v>1293.75</v>
      </c>
      <c r="AB26" s="12">
        <f>$B25*Inputs!$B$15*Curves!C27*(1-Inputs!$B$16)</f>
        <v>1293.75</v>
      </c>
      <c r="AC26" s="12">
        <f>$B25*Inputs!$B$15*Curves!C28*(1-Inputs!$B$16)</f>
        <v>1293.75</v>
      </c>
      <c r="AD26" s="12">
        <f>$B25*Inputs!$B$15*Curves!C29*(1-Inputs!$B$16)</f>
        <v>1293.75</v>
      </c>
      <c r="AE26" s="12">
        <f>$B25*Inputs!$B$15*Curves!C30*(1-Inputs!$B$16)</f>
        <v>1293.75</v>
      </c>
      <c r="AF26" s="12">
        <f>$B25*Inputs!$B$15*Curves!C31*(1-Inputs!$B$16)</f>
        <v>1293.75</v>
      </c>
      <c r="AG26" s="12">
        <f>$B25*Inputs!$B$15*Curves!C32*(1-Inputs!$B$16)</f>
        <v>1293.75</v>
      </c>
      <c r="AH26" s="12">
        <f>$B25*Inputs!$B$15*Curves!C33*(1-Inputs!$B$16)</f>
        <v>1293.75</v>
      </c>
      <c r="AI26" s="12">
        <f>$B25*Inputs!$B$15*Curves!C34*(1-Inputs!$B$16)</f>
        <v>1293.75</v>
      </c>
      <c r="AJ26" s="12">
        <f>$B25*Inputs!$B$15*Curves!C35*(1-Inputs!$B$16)</f>
        <v>1293.75</v>
      </c>
      <c r="AK26" s="12">
        <f>$B25*Inputs!$B$15*Curves!C36*(1-Inputs!$B$16)</f>
        <v>1293.75</v>
      </c>
      <c r="AL26" s="12">
        <f>$B25*Inputs!$B$15*Curves!C37*(1-Inputs!$B$16)</f>
        <v>1293.75</v>
      </c>
      <c r="AM26" s="12">
        <f>$B25*Inputs!$B$15*Curves!C38*(1-Inputs!$B$16)</f>
        <v>1293.75</v>
      </c>
    </row>
    <row r="27" ht="15.75" customHeight="1">
      <c r="A27" s="3" t="s">
        <v>148</v>
      </c>
      <c r="D27" s="3">
        <v>0.0</v>
      </c>
      <c r="E27" s="3">
        <v>0.0</v>
      </c>
      <c r="F27" s="3" t="s">
        <v>149</v>
      </c>
      <c r="G27" s="3" t="str">
        <f t="shared" ref="G27:AM27" si="11">IF($B25=0, "N", IF(F30&gt;=$B25, "Y", "N"))</f>
        <v>N</v>
      </c>
      <c r="H27" s="3" t="str">
        <f t="shared" si="11"/>
        <v>N</v>
      </c>
      <c r="I27" s="3" t="str">
        <f t="shared" si="11"/>
        <v>N</v>
      </c>
      <c r="J27" s="3" t="str">
        <f t="shared" si="11"/>
        <v>Y</v>
      </c>
      <c r="K27" s="3" t="str">
        <f t="shared" si="11"/>
        <v>Y</v>
      </c>
      <c r="L27" s="3" t="str">
        <f t="shared" si="11"/>
        <v>Y</v>
      </c>
      <c r="M27" s="3" t="str">
        <f t="shared" si="11"/>
        <v>Y</v>
      </c>
      <c r="N27" s="3" t="str">
        <f t="shared" si="11"/>
        <v>Y</v>
      </c>
      <c r="O27" s="3" t="str">
        <f t="shared" si="11"/>
        <v>Y</v>
      </c>
      <c r="P27" s="3" t="str">
        <f t="shared" si="11"/>
        <v>Y</v>
      </c>
      <c r="Q27" s="3" t="str">
        <f t="shared" si="11"/>
        <v>Y</v>
      </c>
      <c r="R27" s="3" t="str">
        <f t="shared" si="11"/>
        <v>Y</v>
      </c>
      <c r="S27" s="3" t="str">
        <f t="shared" si="11"/>
        <v>Y</v>
      </c>
      <c r="T27" s="3" t="str">
        <f t="shared" si="11"/>
        <v>Y</v>
      </c>
      <c r="U27" s="3" t="str">
        <f t="shared" si="11"/>
        <v>Y</v>
      </c>
      <c r="V27" s="3" t="str">
        <f t="shared" si="11"/>
        <v>Y</v>
      </c>
      <c r="W27" s="3" t="str">
        <f t="shared" si="11"/>
        <v>Y</v>
      </c>
      <c r="X27" s="3" t="str">
        <f t="shared" si="11"/>
        <v>Y</v>
      </c>
      <c r="Y27" s="3" t="str">
        <f t="shared" si="11"/>
        <v>Y</v>
      </c>
      <c r="Z27" s="3" t="str">
        <f t="shared" si="11"/>
        <v>Y</v>
      </c>
      <c r="AA27" s="3" t="str">
        <f t="shared" si="11"/>
        <v>Y</v>
      </c>
      <c r="AB27" s="3" t="str">
        <f t="shared" si="11"/>
        <v>Y</v>
      </c>
      <c r="AC27" s="3" t="str">
        <f t="shared" si="11"/>
        <v>Y</v>
      </c>
      <c r="AD27" s="3" t="str">
        <f t="shared" si="11"/>
        <v>Y</v>
      </c>
      <c r="AE27" s="3" t="str">
        <f t="shared" si="11"/>
        <v>Y</v>
      </c>
      <c r="AF27" s="3" t="str">
        <f t="shared" si="11"/>
        <v>Y</v>
      </c>
      <c r="AG27" s="3" t="str">
        <f t="shared" si="11"/>
        <v>Y</v>
      </c>
      <c r="AH27" s="3" t="str">
        <f t="shared" si="11"/>
        <v>Y</v>
      </c>
      <c r="AI27" s="3" t="str">
        <f t="shared" si="11"/>
        <v>Y</v>
      </c>
      <c r="AJ27" s="3" t="str">
        <f t="shared" si="11"/>
        <v>Y</v>
      </c>
      <c r="AK27" s="3" t="str">
        <f t="shared" si="11"/>
        <v>Y</v>
      </c>
      <c r="AL27" s="3" t="str">
        <f t="shared" si="11"/>
        <v>Y</v>
      </c>
      <c r="AM27" s="3" t="str">
        <f t="shared" si="11"/>
        <v>Y</v>
      </c>
    </row>
    <row r="28" ht="15.75" customHeight="1">
      <c r="A28" s="3" t="s">
        <v>150</v>
      </c>
      <c r="D28" s="3">
        <v>0.0</v>
      </c>
      <c r="E28" s="3">
        <v>0.0</v>
      </c>
      <c r="F28" s="12">
        <v>0.0</v>
      </c>
      <c r="G28" s="12">
        <f>IF(AND(G27="Y", F31="N"), $B25*Inputs!$B$12/12, 0)</f>
        <v>0</v>
      </c>
      <c r="H28" s="12">
        <f>IF(AND(H27="Y", G31="N"), $B25*Inputs!$B$12/12, 0)</f>
        <v>0</v>
      </c>
      <c r="I28" s="12">
        <f>IF(AND(I27="Y", H31="N"), $B25*Inputs!$B$12/12, 0)</f>
        <v>0</v>
      </c>
      <c r="J28" s="12">
        <f>IF(AND(J27="Y", I31="N"), $B25*Inputs!$B$12/12, 0)</f>
        <v>0</v>
      </c>
      <c r="K28" s="12">
        <f>IF(AND(K27="Y", J31="N"), $B25*Inputs!$B$12/12, 0)</f>
        <v>0</v>
      </c>
      <c r="L28" s="12">
        <f>IF(AND(L27="Y", K31="N"), $B25*Inputs!$B$12/12, 0)</f>
        <v>0</v>
      </c>
      <c r="M28" s="12">
        <f>IF(AND(M27="Y", L31="N"), $B25*Inputs!$B$12/12, 0)</f>
        <v>0</v>
      </c>
      <c r="N28" s="12">
        <f>IF(AND(N27="Y", M31="N"), $B25*Inputs!$B$12/12, 0)</f>
        <v>0</v>
      </c>
      <c r="O28" s="12">
        <f>IF(AND(O27="Y", N31="N"), $B25*Inputs!$B$12/12, 0)</f>
        <v>0</v>
      </c>
      <c r="P28" s="12">
        <f>IF(AND(P27="Y", O31="N"), $B25*Inputs!$B$12/12, 0)</f>
        <v>0</v>
      </c>
      <c r="Q28" s="12">
        <f>IF(AND(Q27="Y", P31="N"), $B25*Inputs!$B$12/12, 0)</f>
        <v>0</v>
      </c>
      <c r="R28" s="12">
        <f>IF(AND(R27="Y", Q31="N"), $B25*Inputs!$B$12/12, 0)</f>
        <v>0</v>
      </c>
      <c r="S28" s="12">
        <f>IF(AND(S27="Y", R31="N"), $B25*Inputs!$B$12/12, 0)</f>
        <v>0</v>
      </c>
      <c r="T28" s="12">
        <f>IF(AND(T27="Y", S31="N"), $B25*Inputs!$B$12/12, 0)</f>
        <v>0</v>
      </c>
      <c r="U28" s="12">
        <f>IF(AND(U27="Y", T31="N"), $B25*Inputs!$B$12/12, 0)</f>
        <v>0</v>
      </c>
      <c r="V28" s="12">
        <f>IF(AND(V27="Y", U31="N"), $B25*Inputs!$B$12/12, 0)</f>
        <v>0</v>
      </c>
      <c r="W28" s="12">
        <f>IF(AND(W27="Y", V31="N"), $B25*Inputs!$B$12/12, 0)</f>
        <v>0</v>
      </c>
      <c r="X28" s="12">
        <f>IF(AND(X27="Y", W31="N"), $B25*Inputs!$B$12/12, 0)</f>
        <v>0</v>
      </c>
      <c r="Y28" s="12">
        <f>IF(AND(Y27="Y", X31="N"), $B25*Inputs!$B$12/12, 0)</f>
        <v>0</v>
      </c>
      <c r="Z28" s="12">
        <f>IF(AND(Z27="Y", Y31="N"), $B25*Inputs!$B$12/12, 0)</f>
        <v>0</v>
      </c>
      <c r="AA28" s="12">
        <f>IF(AND(AA27="Y", Z31="N"), $B25*Inputs!$B$12/12, 0)</f>
        <v>0</v>
      </c>
      <c r="AB28" s="12">
        <f>IF(AND(AB27="Y", AA31="N"), $B25*Inputs!$B$12/12, 0)</f>
        <v>0</v>
      </c>
      <c r="AC28" s="12">
        <f>IF(AND(AC27="Y", AB31="N"), $B25*Inputs!$B$12/12, 0)</f>
        <v>0</v>
      </c>
      <c r="AD28" s="12">
        <f>IF(AND(AD27="Y", AC31="N"), $B25*Inputs!$B$12/12, 0)</f>
        <v>0</v>
      </c>
      <c r="AE28" s="12">
        <f>IF(AND(AE27="Y", AD31="N"), $B25*Inputs!$B$12/12, 0)</f>
        <v>0</v>
      </c>
      <c r="AF28" s="12">
        <f>IF(AND(AF27="Y", AE31="N"), $B25*Inputs!$B$12/12, 0)</f>
        <v>0</v>
      </c>
      <c r="AG28" s="12">
        <f>IF(AND(AG27="Y", AF31="N"), $B25*Inputs!$B$12/12, 0)</f>
        <v>0</v>
      </c>
      <c r="AH28" s="12">
        <f>IF(AND(AH27="Y", AG31="N"), $B25*Inputs!$B$12/12, 0)</f>
        <v>0</v>
      </c>
      <c r="AI28" s="12">
        <f>IF(AND(AI27="Y", AH31="N"), $B25*Inputs!$B$12/12, 0)</f>
        <v>0</v>
      </c>
      <c r="AJ28" s="12">
        <f>IF(AND(AJ27="Y", AI31="N"), $B25*Inputs!$B$12/12, 0)</f>
        <v>0</v>
      </c>
      <c r="AK28" s="12">
        <f>IF(AND(AK27="Y", AJ31="N"), $B25*Inputs!$B$12/12, 0)</f>
        <v>0</v>
      </c>
      <c r="AL28" s="12">
        <f>IF(AND(AL27="Y", AK31="N"), $B25*Inputs!$B$12/12, 0)</f>
        <v>0</v>
      </c>
      <c r="AM28" s="12">
        <f>IF(AND(AM27="Y", AL31="N"), $B25*Inputs!$B$12/12, 0)</f>
        <v>0</v>
      </c>
    </row>
    <row r="29" ht="15.75" customHeight="1">
      <c r="A29" s="3" t="s">
        <v>151</v>
      </c>
      <c r="D29" s="3">
        <v>0.0</v>
      </c>
      <c r="E29" s="3">
        <v>0.0</v>
      </c>
      <c r="F29" s="12">
        <f>IF($B25=0, 0, MIN(F26, $C25))</f>
        <v>81748.18143</v>
      </c>
      <c r="G29" s="12">
        <f t="shared" ref="G29:AM29" si="12">IF($B25=0, 0, IF(F31="Y", 0, IF(G27="N", MIN(G26, $C25-F30), MIN(G26*0.5+G28, $C25-F30))))</f>
        <v>38980.33325</v>
      </c>
      <c r="H29" s="12">
        <f t="shared" si="12"/>
        <v>24986.79633</v>
      </c>
      <c r="I29" s="12">
        <f t="shared" si="12"/>
        <v>11784.68898</v>
      </c>
      <c r="J29" s="12">
        <f t="shared" si="12"/>
        <v>0</v>
      </c>
      <c r="K29" s="12">
        <f t="shared" si="12"/>
        <v>0</v>
      </c>
      <c r="L29" s="12">
        <f t="shared" si="12"/>
        <v>0</v>
      </c>
      <c r="M29" s="12">
        <f t="shared" si="12"/>
        <v>0</v>
      </c>
      <c r="N29" s="12">
        <f t="shared" si="12"/>
        <v>0</v>
      </c>
      <c r="O29" s="12">
        <f t="shared" si="12"/>
        <v>0</v>
      </c>
      <c r="P29" s="12">
        <f t="shared" si="12"/>
        <v>0</v>
      </c>
      <c r="Q29" s="12">
        <f t="shared" si="12"/>
        <v>0</v>
      </c>
      <c r="R29" s="12">
        <f t="shared" si="12"/>
        <v>0</v>
      </c>
      <c r="S29" s="12">
        <f t="shared" si="12"/>
        <v>0</v>
      </c>
      <c r="T29" s="12">
        <f t="shared" si="12"/>
        <v>0</v>
      </c>
      <c r="U29" s="12">
        <f t="shared" si="12"/>
        <v>0</v>
      </c>
      <c r="V29" s="12">
        <f t="shared" si="12"/>
        <v>0</v>
      </c>
      <c r="W29" s="12">
        <f t="shared" si="12"/>
        <v>0</v>
      </c>
      <c r="X29" s="12">
        <f t="shared" si="12"/>
        <v>0</v>
      </c>
      <c r="Y29" s="12">
        <f t="shared" si="12"/>
        <v>0</v>
      </c>
      <c r="Z29" s="12">
        <f t="shared" si="12"/>
        <v>0</v>
      </c>
      <c r="AA29" s="12">
        <f t="shared" si="12"/>
        <v>0</v>
      </c>
      <c r="AB29" s="12">
        <f t="shared" si="12"/>
        <v>0</v>
      </c>
      <c r="AC29" s="12">
        <f t="shared" si="12"/>
        <v>0</v>
      </c>
      <c r="AD29" s="12">
        <f t="shared" si="12"/>
        <v>0</v>
      </c>
      <c r="AE29" s="12">
        <f t="shared" si="12"/>
        <v>0</v>
      </c>
      <c r="AF29" s="12">
        <f t="shared" si="12"/>
        <v>0</v>
      </c>
      <c r="AG29" s="12">
        <f t="shared" si="12"/>
        <v>0</v>
      </c>
      <c r="AH29" s="12">
        <f t="shared" si="12"/>
        <v>0</v>
      </c>
      <c r="AI29" s="12">
        <f t="shared" si="12"/>
        <v>0</v>
      </c>
      <c r="AJ29" s="12">
        <f t="shared" si="12"/>
        <v>0</v>
      </c>
      <c r="AK29" s="12">
        <f t="shared" si="12"/>
        <v>0</v>
      </c>
      <c r="AL29" s="12">
        <f t="shared" si="12"/>
        <v>0</v>
      </c>
      <c r="AM29" s="12">
        <f t="shared" si="12"/>
        <v>0</v>
      </c>
    </row>
    <row r="30" ht="15.75" customHeight="1">
      <c r="A30" s="3" t="s">
        <v>152</v>
      </c>
      <c r="D30" s="3">
        <v>0.0</v>
      </c>
      <c r="E30" s="3">
        <v>0.0</v>
      </c>
      <c r="F30" s="12">
        <f>F29</f>
        <v>81748.18143</v>
      </c>
      <c r="G30" s="12">
        <f t="shared" ref="G30:AM30" si="13">F30+G29</f>
        <v>120728.5147</v>
      </c>
      <c r="H30" s="12">
        <f t="shared" si="13"/>
        <v>145715.311</v>
      </c>
      <c r="I30" s="12">
        <f t="shared" si="13"/>
        <v>157500</v>
      </c>
      <c r="J30" s="12">
        <f t="shared" si="13"/>
        <v>157500</v>
      </c>
      <c r="K30" s="12">
        <f t="shared" si="13"/>
        <v>157500</v>
      </c>
      <c r="L30" s="12">
        <f t="shared" si="13"/>
        <v>157500</v>
      </c>
      <c r="M30" s="12">
        <f t="shared" si="13"/>
        <v>157500</v>
      </c>
      <c r="N30" s="12">
        <f t="shared" si="13"/>
        <v>157500</v>
      </c>
      <c r="O30" s="12">
        <f t="shared" si="13"/>
        <v>157500</v>
      </c>
      <c r="P30" s="12">
        <f t="shared" si="13"/>
        <v>157500</v>
      </c>
      <c r="Q30" s="12">
        <f t="shared" si="13"/>
        <v>157500</v>
      </c>
      <c r="R30" s="12">
        <f t="shared" si="13"/>
        <v>157500</v>
      </c>
      <c r="S30" s="12">
        <f t="shared" si="13"/>
        <v>157500</v>
      </c>
      <c r="T30" s="12">
        <f t="shared" si="13"/>
        <v>157500</v>
      </c>
      <c r="U30" s="12">
        <f t="shared" si="13"/>
        <v>157500</v>
      </c>
      <c r="V30" s="12">
        <f t="shared" si="13"/>
        <v>157500</v>
      </c>
      <c r="W30" s="12">
        <f t="shared" si="13"/>
        <v>157500</v>
      </c>
      <c r="X30" s="12">
        <f t="shared" si="13"/>
        <v>157500</v>
      </c>
      <c r="Y30" s="12">
        <f t="shared" si="13"/>
        <v>157500</v>
      </c>
      <c r="Z30" s="12">
        <f t="shared" si="13"/>
        <v>157500</v>
      </c>
      <c r="AA30" s="12">
        <f t="shared" si="13"/>
        <v>157500</v>
      </c>
      <c r="AB30" s="12">
        <f t="shared" si="13"/>
        <v>157500</v>
      </c>
      <c r="AC30" s="12">
        <f t="shared" si="13"/>
        <v>157500</v>
      </c>
      <c r="AD30" s="12">
        <f t="shared" si="13"/>
        <v>157500</v>
      </c>
      <c r="AE30" s="12">
        <f t="shared" si="13"/>
        <v>157500</v>
      </c>
      <c r="AF30" s="12">
        <f t="shared" si="13"/>
        <v>157500</v>
      </c>
      <c r="AG30" s="12">
        <f t="shared" si="13"/>
        <v>157500</v>
      </c>
      <c r="AH30" s="12">
        <f t="shared" si="13"/>
        <v>157500</v>
      </c>
      <c r="AI30" s="12">
        <f t="shared" si="13"/>
        <v>157500</v>
      </c>
      <c r="AJ30" s="12">
        <f t="shared" si="13"/>
        <v>157500</v>
      </c>
      <c r="AK30" s="12">
        <f t="shared" si="13"/>
        <v>157500</v>
      </c>
      <c r="AL30" s="12">
        <f t="shared" si="13"/>
        <v>157500</v>
      </c>
      <c r="AM30" s="12">
        <f t="shared" si="13"/>
        <v>157500</v>
      </c>
    </row>
    <row r="31" ht="15.75" customHeight="1">
      <c r="A31" s="3" t="s">
        <v>153</v>
      </c>
      <c r="D31" s="3">
        <v>0.0</v>
      </c>
      <c r="E31" s="3">
        <v>0.0</v>
      </c>
      <c r="F31" s="3" t="str">
        <f t="shared" ref="F31:AM31" si="14">IF(F30&gt;=$C25, "Y", "N")</f>
        <v>N</v>
      </c>
      <c r="G31" s="3" t="str">
        <f t="shared" si="14"/>
        <v>N</v>
      </c>
      <c r="H31" s="3" t="str">
        <f t="shared" si="14"/>
        <v>N</v>
      </c>
      <c r="I31" s="3" t="str">
        <f t="shared" si="14"/>
        <v>Y</v>
      </c>
      <c r="J31" s="3" t="str">
        <f t="shared" si="14"/>
        <v>Y</v>
      </c>
      <c r="K31" s="3" t="str">
        <f t="shared" si="14"/>
        <v>Y</v>
      </c>
      <c r="L31" s="3" t="str">
        <f t="shared" si="14"/>
        <v>Y</v>
      </c>
      <c r="M31" s="3" t="str">
        <f t="shared" si="14"/>
        <v>Y</v>
      </c>
      <c r="N31" s="3" t="str">
        <f t="shared" si="14"/>
        <v>Y</v>
      </c>
      <c r="O31" s="3" t="str">
        <f t="shared" si="14"/>
        <v>Y</v>
      </c>
      <c r="P31" s="3" t="str">
        <f t="shared" si="14"/>
        <v>Y</v>
      </c>
      <c r="Q31" s="3" t="str">
        <f t="shared" si="14"/>
        <v>Y</v>
      </c>
      <c r="R31" s="3" t="str">
        <f t="shared" si="14"/>
        <v>Y</v>
      </c>
      <c r="S31" s="3" t="str">
        <f t="shared" si="14"/>
        <v>Y</v>
      </c>
      <c r="T31" s="3" t="str">
        <f t="shared" si="14"/>
        <v>Y</v>
      </c>
      <c r="U31" s="3" t="str">
        <f t="shared" si="14"/>
        <v>Y</v>
      </c>
      <c r="V31" s="3" t="str">
        <f t="shared" si="14"/>
        <v>Y</v>
      </c>
      <c r="W31" s="3" t="str">
        <f t="shared" si="14"/>
        <v>Y</v>
      </c>
      <c r="X31" s="3" t="str">
        <f t="shared" si="14"/>
        <v>Y</v>
      </c>
      <c r="Y31" s="3" t="str">
        <f t="shared" si="14"/>
        <v>Y</v>
      </c>
      <c r="Z31" s="3" t="str">
        <f t="shared" si="14"/>
        <v>Y</v>
      </c>
      <c r="AA31" s="3" t="str">
        <f t="shared" si="14"/>
        <v>Y</v>
      </c>
      <c r="AB31" s="3" t="str">
        <f t="shared" si="14"/>
        <v>Y</v>
      </c>
      <c r="AC31" s="3" t="str">
        <f t="shared" si="14"/>
        <v>Y</v>
      </c>
      <c r="AD31" s="3" t="str">
        <f t="shared" si="14"/>
        <v>Y</v>
      </c>
      <c r="AE31" s="3" t="str">
        <f t="shared" si="14"/>
        <v>Y</v>
      </c>
      <c r="AF31" s="3" t="str">
        <f t="shared" si="14"/>
        <v>Y</v>
      </c>
      <c r="AG31" s="3" t="str">
        <f t="shared" si="14"/>
        <v>Y</v>
      </c>
      <c r="AH31" s="3" t="str">
        <f t="shared" si="14"/>
        <v>Y</v>
      </c>
      <c r="AI31" s="3" t="str">
        <f t="shared" si="14"/>
        <v>Y</v>
      </c>
      <c r="AJ31" s="3" t="str">
        <f t="shared" si="14"/>
        <v>Y</v>
      </c>
      <c r="AK31" s="3" t="str">
        <f t="shared" si="14"/>
        <v>Y</v>
      </c>
      <c r="AL31" s="3" t="str">
        <f t="shared" si="14"/>
        <v>Y</v>
      </c>
      <c r="AM31" s="3" t="str">
        <f t="shared" si="14"/>
        <v>Y</v>
      </c>
    </row>
    <row r="32" ht="15.75" customHeight="1">
      <c r="A32" s="3" t="s">
        <v>154</v>
      </c>
      <c r="D32" s="3">
        <v>0.0</v>
      </c>
      <c r="E32" s="3">
        <v>0.0</v>
      </c>
      <c r="F32" s="12">
        <f t="shared" ref="F32:AM32" si="15">F26-F29</f>
        <v>0</v>
      </c>
      <c r="G32" s="12">
        <f t="shared" si="15"/>
        <v>0</v>
      </c>
      <c r="H32" s="12">
        <f t="shared" si="15"/>
        <v>0</v>
      </c>
      <c r="I32" s="12">
        <f t="shared" si="15"/>
        <v>5795.020469</v>
      </c>
      <c r="J32" s="12">
        <f t="shared" si="15"/>
        <v>10451.66143</v>
      </c>
      <c r="K32" s="12">
        <f t="shared" si="15"/>
        <v>9369.137441</v>
      </c>
      <c r="L32" s="12">
        <f t="shared" si="15"/>
        <v>8091.604073</v>
      </c>
      <c r="M32" s="12">
        <f t="shared" si="15"/>
        <v>7149.384051</v>
      </c>
      <c r="N32" s="12">
        <f t="shared" si="15"/>
        <v>6391.262571</v>
      </c>
      <c r="O32" s="12">
        <f t="shared" si="15"/>
        <v>7426.929966</v>
      </c>
      <c r="P32" s="12">
        <f t="shared" si="15"/>
        <v>5175</v>
      </c>
      <c r="Q32" s="12">
        <f t="shared" si="15"/>
        <v>5175</v>
      </c>
      <c r="R32" s="12">
        <f t="shared" si="15"/>
        <v>5175</v>
      </c>
      <c r="S32" s="12">
        <f t="shared" si="15"/>
        <v>1293.75</v>
      </c>
      <c r="T32" s="12">
        <f t="shared" si="15"/>
        <v>1293.75</v>
      </c>
      <c r="U32" s="12">
        <f t="shared" si="15"/>
        <v>1293.75</v>
      </c>
      <c r="V32" s="12">
        <f t="shared" si="15"/>
        <v>1293.75</v>
      </c>
      <c r="W32" s="12">
        <f t="shared" si="15"/>
        <v>1293.75</v>
      </c>
      <c r="X32" s="12">
        <f t="shared" si="15"/>
        <v>1293.75</v>
      </c>
      <c r="Y32" s="12">
        <f t="shared" si="15"/>
        <v>1293.75</v>
      </c>
      <c r="Z32" s="12">
        <f t="shared" si="15"/>
        <v>1293.75</v>
      </c>
      <c r="AA32" s="12">
        <f t="shared" si="15"/>
        <v>1293.75</v>
      </c>
      <c r="AB32" s="12">
        <f t="shared" si="15"/>
        <v>1293.75</v>
      </c>
      <c r="AC32" s="12">
        <f t="shared" si="15"/>
        <v>1293.75</v>
      </c>
      <c r="AD32" s="12">
        <f t="shared" si="15"/>
        <v>1293.75</v>
      </c>
      <c r="AE32" s="12">
        <f t="shared" si="15"/>
        <v>1293.75</v>
      </c>
      <c r="AF32" s="12">
        <f t="shared" si="15"/>
        <v>1293.75</v>
      </c>
      <c r="AG32" s="12">
        <f t="shared" si="15"/>
        <v>1293.75</v>
      </c>
      <c r="AH32" s="12">
        <f t="shared" si="15"/>
        <v>1293.75</v>
      </c>
      <c r="AI32" s="12">
        <f t="shared" si="15"/>
        <v>1293.75</v>
      </c>
      <c r="AJ32" s="12">
        <f t="shared" si="15"/>
        <v>1293.75</v>
      </c>
      <c r="AK32" s="12">
        <f t="shared" si="15"/>
        <v>1293.75</v>
      </c>
      <c r="AL32" s="12">
        <f t="shared" si="15"/>
        <v>1293.75</v>
      </c>
      <c r="AM32" s="12">
        <f t="shared" si="15"/>
        <v>1293.75</v>
      </c>
    </row>
    <row r="33" ht="15.75" customHeight="1"/>
    <row r="34" ht="15.75" customHeight="1">
      <c r="A34" s="2" t="str">
        <f>Acquisition_Plan!A7</f>
        <v>2026-05-02</v>
      </c>
      <c r="B34" s="12">
        <f>Acquisition_Plan!E7</f>
        <v>150000</v>
      </c>
      <c r="C34" s="12">
        <f>B34*(1+Inputs!$B$12)</f>
        <v>157500</v>
      </c>
    </row>
    <row r="35" ht="15.75" customHeight="1">
      <c r="A35" s="3" t="s">
        <v>147</v>
      </c>
      <c r="D35" s="3">
        <v>0.0</v>
      </c>
      <c r="E35" s="3">
        <v>0.0</v>
      </c>
      <c r="F35" s="3">
        <v>0.0</v>
      </c>
      <c r="G35" s="12">
        <f>$B34*Inputs!$B$15*Curves!C5*(1-Inputs!$B$16)</f>
        <v>81748.18143</v>
      </c>
      <c r="H35" s="12">
        <f>$B34*Inputs!$B$15*Curves!C6*(1-Inputs!$B$16)</f>
        <v>38980.33325</v>
      </c>
      <c r="I35" s="12">
        <f>$B34*Inputs!$B$15*Curves!C7*(1-Inputs!$B$16)</f>
        <v>24986.79633</v>
      </c>
      <c r="J35" s="12">
        <f>$B34*Inputs!$B$15*Curves!C8*(1-Inputs!$B$16)</f>
        <v>17579.70945</v>
      </c>
      <c r="K35" s="12">
        <f>$B34*Inputs!$B$15*Curves!C9*(1-Inputs!$B$16)</f>
        <v>10451.66143</v>
      </c>
      <c r="L35" s="12">
        <f>$B34*Inputs!$B$15*Curves!C10*(1-Inputs!$B$16)</f>
        <v>9369.137441</v>
      </c>
      <c r="M35" s="12">
        <f>$B34*Inputs!$B$15*Curves!C11*(1-Inputs!$B$16)</f>
        <v>8091.604073</v>
      </c>
      <c r="N35" s="12">
        <f>$B34*Inputs!$B$15*Curves!C12*(1-Inputs!$B$16)</f>
        <v>7149.384051</v>
      </c>
      <c r="O35" s="12">
        <f>$B34*Inputs!$B$15*Curves!C13*(1-Inputs!$B$16)</f>
        <v>6391.262571</v>
      </c>
      <c r="P35" s="12">
        <f>$B34*Inputs!$B$15*Curves!C14*(1-Inputs!$B$16)</f>
        <v>7426.929966</v>
      </c>
      <c r="Q35" s="12">
        <f>$B34*Inputs!$B$15*Curves!C15*(1-Inputs!$B$16)</f>
        <v>5175</v>
      </c>
      <c r="R35" s="12">
        <f>$B34*Inputs!$B$15*Curves!C16*(1-Inputs!$B$16)</f>
        <v>5175</v>
      </c>
      <c r="S35" s="12">
        <f>$B34*Inputs!$B$15*Curves!C17*(1-Inputs!$B$16)</f>
        <v>5175</v>
      </c>
      <c r="T35" s="12">
        <f>$B34*Inputs!$B$15*Curves!C18*(1-Inputs!$B$16)</f>
        <v>1293.75</v>
      </c>
      <c r="U35" s="12">
        <f>$B34*Inputs!$B$15*Curves!C19*(1-Inputs!$B$16)</f>
        <v>1293.75</v>
      </c>
      <c r="V35" s="12">
        <f>$B34*Inputs!$B$15*Curves!C20*(1-Inputs!$B$16)</f>
        <v>1293.75</v>
      </c>
      <c r="W35" s="12">
        <f>$B34*Inputs!$B$15*Curves!C21*(1-Inputs!$B$16)</f>
        <v>1293.75</v>
      </c>
      <c r="X35" s="12">
        <f>$B34*Inputs!$B$15*Curves!C22*(1-Inputs!$B$16)</f>
        <v>1293.75</v>
      </c>
      <c r="Y35" s="12">
        <f>$B34*Inputs!$B$15*Curves!C23*(1-Inputs!$B$16)</f>
        <v>1293.75</v>
      </c>
      <c r="Z35" s="12">
        <f>$B34*Inputs!$B$15*Curves!C24*(1-Inputs!$B$16)</f>
        <v>1293.75</v>
      </c>
      <c r="AA35" s="12">
        <f>$B34*Inputs!$B$15*Curves!C25*(1-Inputs!$B$16)</f>
        <v>1293.75</v>
      </c>
      <c r="AB35" s="12">
        <f>$B34*Inputs!$B$15*Curves!C26*(1-Inputs!$B$16)</f>
        <v>1293.75</v>
      </c>
      <c r="AC35" s="12">
        <f>$B34*Inputs!$B$15*Curves!C27*(1-Inputs!$B$16)</f>
        <v>1293.75</v>
      </c>
      <c r="AD35" s="12">
        <f>$B34*Inputs!$B$15*Curves!C28*(1-Inputs!$B$16)</f>
        <v>1293.75</v>
      </c>
      <c r="AE35" s="12">
        <f>$B34*Inputs!$B$15*Curves!C29*(1-Inputs!$B$16)</f>
        <v>1293.75</v>
      </c>
      <c r="AF35" s="12">
        <f>$B34*Inputs!$B$15*Curves!C30*(1-Inputs!$B$16)</f>
        <v>1293.75</v>
      </c>
      <c r="AG35" s="12">
        <f>$B34*Inputs!$B$15*Curves!C31*(1-Inputs!$B$16)</f>
        <v>1293.75</v>
      </c>
      <c r="AH35" s="12">
        <f>$B34*Inputs!$B$15*Curves!C32*(1-Inputs!$B$16)</f>
        <v>1293.75</v>
      </c>
      <c r="AI35" s="12">
        <f>$B34*Inputs!$B$15*Curves!C33*(1-Inputs!$B$16)</f>
        <v>1293.75</v>
      </c>
      <c r="AJ35" s="12">
        <f>$B34*Inputs!$B$15*Curves!C34*(1-Inputs!$B$16)</f>
        <v>1293.75</v>
      </c>
      <c r="AK35" s="12">
        <f>$B34*Inputs!$B$15*Curves!C35*(1-Inputs!$B$16)</f>
        <v>1293.75</v>
      </c>
      <c r="AL35" s="12">
        <f>$B34*Inputs!$B$15*Curves!C36*(1-Inputs!$B$16)</f>
        <v>1293.75</v>
      </c>
      <c r="AM35" s="12">
        <f>$B34*Inputs!$B$15*Curves!C37*(1-Inputs!$B$16)</f>
        <v>1293.75</v>
      </c>
    </row>
    <row r="36" ht="15.75" customHeight="1">
      <c r="A36" s="3" t="s">
        <v>148</v>
      </c>
      <c r="D36" s="3">
        <v>0.0</v>
      </c>
      <c r="E36" s="3">
        <v>0.0</v>
      </c>
      <c r="F36" s="3">
        <v>0.0</v>
      </c>
      <c r="G36" s="3" t="s">
        <v>149</v>
      </c>
      <c r="H36" s="3" t="str">
        <f t="shared" ref="H36:AM36" si="16">IF($B34=0, "N", IF(G39&gt;=$B34, "Y", "N"))</f>
        <v>N</v>
      </c>
      <c r="I36" s="3" t="str">
        <f t="shared" si="16"/>
        <v>N</v>
      </c>
      <c r="J36" s="3" t="str">
        <f t="shared" si="16"/>
        <v>N</v>
      </c>
      <c r="K36" s="3" t="str">
        <f t="shared" si="16"/>
        <v>Y</v>
      </c>
      <c r="L36" s="3" t="str">
        <f t="shared" si="16"/>
        <v>Y</v>
      </c>
      <c r="M36" s="3" t="str">
        <f t="shared" si="16"/>
        <v>Y</v>
      </c>
      <c r="N36" s="3" t="str">
        <f t="shared" si="16"/>
        <v>Y</v>
      </c>
      <c r="O36" s="3" t="str">
        <f t="shared" si="16"/>
        <v>Y</v>
      </c>
      <c r="P36" s="3" t="str">
        <f t="shared" si="16"/>
        <v>Y</v>
      </c>
      <c r="Q36" s="3" t="str">
        <f t="shared" si="16"/>
        <v>Y</v>
      </c>
      <c r="R36" s="3" t="str">
        <f t="shared" si="16"/>
        <v>Y</v>
      </c>
      <c r="S36" s="3" t="str">
        <f t="shared" si="16"/>
        <v>Y</v>
      </c>
      <c r="T36" s="3" t="str">
        <f t="shared" si="16"/>
        <v>Y</v>
      </c>
      <c r="U36" s="3" t="str">
        <f t="shared" si="16"/>
        <v>Y</v>
      </c>
      <c r="V36" s="3" t="str">
        <f t="shared" si="16"/>
        <v>Y</v>
      </c>
      <c r="W36" s="3" t="str">
        <f t="shared" si="16"/>
        <v>Y</v>
      </c>
      <c r="X36" s="3" t="str">
        <f t="shared" si="16"/>
        <v>Y</v>
      </c>
      <c r="Y36" s="3" t="str">
        <f t="shared" si="16"/>
        <v>Y</v>
      </c>
      <c r="Z36" s="3" t="str">
        <f t="shared" si="16"/>
        <v>Y</v>
      </c>
      <c r="AA36" s="3" t="str">
        <f t="shared" si="16"/>
        <v>Y</v>
      </c>
      <c r="AB36" s="3" t="str">
        <f t="shared" si="16"/>
        <v>Y</v>
      </c>
      <c r="AC36" s="3" t="str">
        <f t="shared" si="16"/>
        <v>Y</v>
      </c>
      <c r="AD36" s="3" t="str">
        <f t="shared" si="16"/>
        <v>Y</v>
      </c>
      <c r="AE36" s="3" t="str">
        <f t="shared" si="16"/>
        <v>Y</v>
      </c>
      <c r="AF36" s="3" t="str">
        <f t="shared" si="16"/>
        <v>Y</v>
      </c>
      <c r="AG36" s="3" t="str">
        <f t="shared" si="16"/>
        <v>Y</v>
      </c>
      <c r="AH36" s="3" t="str">
        <f t="shared" si="16"/>
        <v>Y</v>
      </c>
      <c r="AI36" s="3" t="str">
        <f t="shared" si="16"/>
        <v>Y</v>
      </c>
      <c r="AJ36" s="3" t="str">
        <f t="shared" si="16"/>
        <v>Y</v>
      </c>
      <c r="AK36" s="3" t="str">
        <f t="shared" si="16"/>
        <v>Y</v>
      </c>
      <c r="AL36" s="3" t="str">
        <f t="shared" si="16"/>
        <v>Y</v>
      </c>
      <c r="AM36" s="3" t="str">
        <f t="shared" si="16"/>
        <v>Y</v>
      </c>
    </row>
    <row r="37" ht="15.75" customHeight="1">
      <c r="A37" s="3" t="s">
        <v>150</v>
      </c>
      <c r="D37" s="3">
        <v>0.0</v>
      </c>
      <c r="E37" s="3">
        <v>0.0</v>
      </c>
      <c r="F37" s="3">
        <v>0.0</v>
      </c>
      <c r="G37" s="12">
        <v>0.0</v>
      </c>
      <c r="H37" s="12">
        <f>IF(AND(H36="Y", G40="N"), $B34*Inputs!$B$12/12, 0)</f>
        <v>0</v>
      </c>
      <c r="I37" s="12">
        <f>IF(AND(I36="Y", H40="N"), $B34*Inputs!$B$12/12, 0)</f>
        <v>0</v>
      </c>
      <c r="J37" s="12">
        <f>IF(AND(J36="Y", I40="N"), $B34*Inputs!$B$12/12, 0)</f>
        <v>0</v>
      </c>
      <c r="K37" s="12">
        <f>IF(AND(K36="Y", J40="N"), $B34*Inputs!$B$12/12, 0)</f>
        <v>0</v>
      </c>
      <c r="L37" s="12">
        <f>IF(AND(L36="Y", K40="N"), $B34*Inputs!$B$12/12, 0)</f>
        <v>0</v>
      </c>
      <c r="M37" s="12">
        <f>IF(AND(M36="Y", L40="N"), $B34*Inputs!$B$12/12, 0)</f>
        <v>0</v>
      </c>
      <c r="N37" s="12">
        <f>IF(AND(N36="Y", M40="N"), $B34*Inputs!$B$12/12, 0)</f>
        <v>0</v>
      </c>
      <c r="O37" s="12">
        <f>IF(AND(O36="Y", N40="N"), $B34*Inputs!$B$12/12, 0)</f>
        <v>0</v>
      </c>
      <c r="P37" s="12">
        <f>IF(AND(P36="Y", O40="N"), $B34*Inputs!$B$12/12, 0)</f>
        <v>0</v>
      </c>
      <c r="Q37" s="12">
        <f>IF(AND(Q36="Y", P40="N"), $B34*Inputs!$B$12/12, 0)</f>
        <v>0</v>
      </c>
      <c r="R37" s="12">
        <f>IF(AND(R36="Y", Q40="N"), $B34*Inputs!$B$12/12, 0)</f>
        <v>0</v>
      </c>
      <c r="S37" s="12">
        <f>IF(AND(S36="Y", R40="N"), $B34*Inputs!$B$12/12, 0)</f>
        <v>0</v>
      </c>
      <c r="T37" s="12">
        <f>IF(AND(T36="Y", S40="N"), $B34*Inputs!$B$12/12, 0)</f>
        <v>0</v>
      </c>
      <c r="U37" s="12">
        <f>IF(AND(U36="Y", T40="N"), $B34*Inputs!$B$12/12, 0)</f>
        <v>0</v>
      </c>
      <c r="V37" s="12">
        <f>IF(AND(V36="Y", U40="N"), $B34*Inputs!$B$12/12, 0)</f>
        <v>0</v>
      </c>
      <c r="W37" s="12">
        <f>IF(AND(W36="Y", V40="N"), $B34*Inputs!$B$12/12, 0)</f>
        <v>0</v>
      </c>
      <c r="X37" s="12">
        <f>IF(AND(X36="Y", W40="N"), $B34*Inputs!$B$12/12, 0)</f>
        <v>0</v>
      </c>
      <c r="Y37" s="12">
        <f>IF(AND(Y36="Y", X40="N"), $B34*Inputs!$B$12/12, 0)</f>
        <v>0</v>
      </c>
      <c r="Z37" s="12">
        <f>IF(AND(Z36="Y", Y40="N"), $B34*Inputs!$B$12/12, 0)</f>
        <v>0</v>
      </c>
      <c r="AA37" s="12">
        <f>IF(AND(AA36="Y", Z40="N"), $B34*Inputs!$B$12/12, 0)</f>
        <v>0</v>
      </c>
      <c r="AB37" s="12">
        <f>IF(AND(AB36="Y", AA40="N"), $B34*Inputs!$B$12/12, 0)</f>
        <v>0</v>
      </c>
      <c r="AC37" s="12">
        <f>IF(AND(AC36="Y", AB40="N"), $B34*Inputs!$B$12/12, 0)</f>
        <v>0</v>
      </c>
      <c r="AD37" s="12">
        <f>IF(AND(AD36="Y", AC40="N"), $B34*Inputs!$B$12/12, 0)</f>
        <v>0</v>
      </c>
      <c r="AE37" s="12">
        <f>IF(AND(AE36="Y", AD40="N"), $B34*Inputs!$B$12/12, 0)</f>
        <v>0</v>
      </c>
      <c r="AF37" s="12">
        <f>IF(AND(AF36="Y", AE40="N"), $B34*Inputs!$B$12/12, 0)</f>
        <v>0</v>
      </c>
      <c r="AG37" s="12">
        <f>IF(AND(AG36="Y", AF40="N"), $B34*Inputs!$B$12/12, 0)</f>
        <v>0</v>
      </c>
      <c r="AH37" s="12">
        <f>IF(AND(AH36="Y", AG40="N"), $B34*Inputs!$B$12/12, 0)</f>
        <v>0</v>
      </c>
      <c r="AI37" s="12">
        <f>IF(AND(AI36="Y", AH40="N"), $B34*Inputs!$B$12/12, 0)</f>
        <v>0</v>
      </c>
      <c r="AJ37" s="12">
        <f>IF(AND(AJ36="Y", AI40="N"), $B34*Inputs!$B$12/12, 0)</f>
        <v>0</v>
      </c>
      <c r="AK37" s="12">
        <f>IF(AND(AK36="Y", AJ40="N"), $B34*Inputs!$B$12/12, 0)</f>
        <v>0</v>
      </c>
      <c r="AL37" s="12">
        <f>IF(AND(AL36="Y", AK40="N"), $B34*Inputs!$B$12/12, 0)</f>
        <v>0</v>
      </c>
      <c r="AM37" s="12">
        <f>IF(AND(AM36="Y", AL40="N"), $B34*Inputs!$B$12/12, 0)</f>
        <v>0</v>
      </c>
    </row>
    <row r="38" ht="15.75" customHeight="1">
      <c r="A38" s="3" t="s">
        <v>151</v>
      </c>
      <c r="D38" s="3">
        <v>0.0</v>
      </c>
      <c r="E38" s="3">
        <v>0.0</v>
      </c>
      <c r="F38" s="3">
        <v>0.0</v>
      </c>
      <c r="G38" s="12">
        <f>IF($B34=0, 0, MIN(G35, $C34))</f>
        <v>81748.18143</v>
      </c>
      <c r="H38" s="12">
        <f t="shared" ref="H38:AM38" si="17">IF($B34=0, 0, IF(G40="Y", 0, IF(H36="N", MIN(H35, $C34-G39), MIN(H35*0.5+H37, $C34-G39))))</f>
        <v>38980.33325</v>
      </c>
      <c r="I38" s="12">
        <f t="shared" si="17"/>
        <v>24986.79633</v>
      </c>
      <c r="J38" s="12">
        <f t="shared" si="17"/>
        <v>11784.68898</v>
      </c>
      <c r="K38" s="12">
        <f t="shared" si="17"/>
        <v>0</v>
      </c>
      <c r="L38" s="12">
        <f t="shared" si="17"/>
        <v>0</v>
      </c>
      <c r="M38" s="12">
        <f t="shared" si="17"/>
        <v>0</v>
      </c>
      <c r="N38" s="12">
        <f t="shared" si="17"/>
        <v>0</v>
      </c>
      <c r="O38" s="12">
        <f t="shared" si="17"/>
        <v>0</v>
      </c>
      <c r="P38" s="12">
        <f t="shared" si="17"/>
        <v>0</v>
      </c>
      <c r="Q38" s="12">
        <f t="shared" si="17"/>
        <v>0</v>
      </c>
      <c r="R38" s="12">
        <f t="shared" si="17"/>
        <v>0</v>
      </c>
      <c r="S38" s="12">
        <f t="shared" si="17"/>
        <v>0</v>
      </c>
      <c r="T38" s="12">
        <f t="shared" si="17"/>
        <v>0</v>
      </c>
      <c r="U38" s="12">
        <f t="shared" si="17"/>
        <v>0</v>
      </c>
      <c r="V38" s="12">
        <f t="shared" si="17"/>
        <v>0</v>
      </c>
      <c r="W38" s="12">
        <f t="shared" si="17"/>
        <v>0</v>
      </c>
      <c r="X38" s="12">
        <f t="shared" si="17"/>
        <v>0</v>
      </c>
      <c r="Y38" s="12">
        <f t="shared" si="17"/>
        <v>0</v>
      </c>
      <c r="Z38" s="12">
        <f t="shared" si="17"/>
        <v>0</v>
      </c>
      <c r="AA38" s="12">
        <f t="shared" si="17"/>
        <v>0</v>
      </c>
      <c r="AB38" s="12">
        <f t="shared" si="17"/>
        <v>0</v>
      </c>
      <c r="AC38" s="12">
        <f t="shared" si="17"/>
        <v>0</v>
      </c>
      <c r="AD38" s="12">
        <f t="shared" si="17"/>
        <v>0</v>
      </c>
      <c r="AE38" s="12">
        <f t="shared" si="17"/>
        <v>0</v>
      </c>
      <c r="AF38" s="12">
        <f t="shared" si="17"/>
        <v>0</v>
      </c>
      <c r="AG38" s="12">
        <f t="shared" si="17"/>
        <v>0</v>
      </c>
      <c r="AH38" s="12">
        <f t="shared" si="17"/>
        <v>0</v>
      </c>
      <c r="AI38" s="12">
        <f t="shared" si="17"/>
        <v>0</v>
      </c>
      <c r="AJ38" s="12">
        <f t="shared" si="17"/>
        <v>0</v>
      </c>
      <c r="AK38" s="12">
        <f t="shared" si="17"/>
        <v>0</v>
      </c>
      <c r="AL38" s="12">
        <f t="shared" si="17"/>
        <v>0</v>
      </c>
      <c r="AM38" s="12">
        <f t="shared" si="17"/>
        <v>0</v>
      </c>
    </row>
    <row r="39" ht="15.75" customHeight="1">
      <c r="A39" s="3" t="s">
        <v>152</v>
      </c>
      <c r="D39" s="3">
        <v>0.0</v>
      </c>
      <c r="E39" s="3">
        <v>0.0</v>
      </c>
      <c r="F39" s="3">
        <v>0.0</v>
      </c>
      <c r="G39" s="12">
        <f>G38</f>
        <v>81748.18143</v>
      </c>
      <c r="H39" s="12">
        <f t="shared" ref="H39:AM39" si="18">G39+H38</f>
        <v>120728.5147</v>
      </c>
      <c r="I39" s="12">
        <f t="shared" si="18"/>
        <v>145715.311</v>
      </c>
      <c r="J39" s="12">
        <f t="shared" si="18"/>
        <v>157500</v>
      </c>
      <c r="K39" s="12">
        <f t="shared" si="18"/>
        <v>157500</v>
      </c>
      <c r="L39" s="12">
        <f t="shared" si="18"/>
        <v>157500</v>
      </c>
      <c r="M39" s="12">
        <f t="shared" si="18"/>
        <v>157500</v>
      </c>
      <c r="N39" s="12">
        <f t="shared" si="18"/>
        <v>157500</v>
      </c>
      <c r="O39" s="12">
        <f t="shared" si="18"/>
        <v>157500</v>
      </c>
      <c r="P39" s="12">
        <f t="shared" si="18"/>
        <v>157500</v>
      </c>
      <c r="Q39" s="12">
        <f t="shared" si="18"/>
        <v>157500</v>
      </c>
      <c r="R39" s="12">
        <f t="shared" si="18"/>
        <v>157500</v>
      </c>
      <c r="S39" s="12">
        <f t="shared" si="18"/>
        <v>157500</v>
      </c>
      <c r="T39" s="12">
        <f t="shared" si="18"/>
        <v>157500</v>
      </c>
      <c r="U39" s="12">
        <f t="shared" si="18"/>
        <v>157500</v>
      </c>
      <c r="V39" s="12">
        <f t="shared" si="18"/>
        <v>157500</v>
      </c>
      <c r="W39" s="12">
        <f t="shared" si="18"/>
        <v>157500</v>
      </c>
      <c r="X39" s="12">
        <f t="shared" si="18"/>
        <v>157500</v>
      </c>
      <c r="Y39" s="12">
        <f t="shared" si="18"/>
        <v>157500</v>
      </c>
      <c r="Z39" s="12">
        <f t="shared" si="18"/>
        <v>157500</v>
      </c>
      <c r="AA39" s="12">
        <f t="shared" si="18"/>
        <v>157500</v>
      </c>
      <c r="AB39" s="12">
        <f t="shared" si="18"/>
        <v>157500</v>
      </c>
      <c r="AC39" s="12">
        <f t="shared" si="18"/>
        <v>157500</v>
      </c>
      <c r="AD39" s="12">
        <f t="shared" si="18"/>
        <v>157500</v>
      </c>
      <c r="AE39" s="12">
        <f t="shared" si="18"/>
        <v>157500</v>
      </c>
      <c r="AF39" s="12">
        <f t="shared" si="18"/>
        <v>157500</v>
      </c>
      <c r="AG39" s="12">
        <f t="shared" si="18"/>
        <v>157500</v>
      </c>
      <c r="AH39" s="12">
        <f t="shared" si="18"/>
        <v>157500</v>
      </c>
      <c r="AI39" s="12">
        <f t="shared" si="18"/>
        <v>157500</v>
      </c>
      <c r="AJ39" s="12">
        <f t="shared" si="18"/>
        <v>157500</v>
      </c>
      <c r="AK39" s="12">
        <f t="shared" si="18"/>
        <v>157500</v>
      </c>
      <c r="AL39" s="12">
        <f t="shared" si="18"/>
        <v>157500</v>
      </c>
      <c r="AM39" s="12">
        <f t="shared" si="18"/>
        <v>157500</v>
      </c>
    </row>
    <row r="40" ht="15.75" customHeight="1">
      <c r="A40" s="3" t="s">
        <v>153</v>
      </c>
      <c r="D40" s="3">
        <v>0.0</v>
      </c>
      <c r="E40" s="3">
        <v>0.0</v>
      </c>
      <c r="F40" s="3">
        <v>0.0</v>
      </c>
      <c r="G40" s="3" t="str">
        <f t="shared" ref="G40:AM40" si="19">IF(G39&gt;=$C34, "Y", "N")</f>
        <v>N</v>
      </c>
      <c r="H40" s="3" t="str">
        <f t="shared" si="19"/>
        <v>N</v>
      </c>
      <c r="I40" s="3" t="str">
        <f t="shared" si="19"/>
        <v>N</v>
      </c>
      <c r="J40" s="3" t="str">
        <f t="shared" si="19"/>
        <v>Y</v>
      </c>
      <c r="K40" s="3" t="str">
        <f t="shared" si="19"/>
        <v>Y</v>
      </c>
      <c r="L40" s="3" t="str">
        <f t="shared" si="19"/>
        <v>Y</v>
      </c>
      <c r="M40" s="3" t="str">
        <f t="shared" si="19"/>
        <v>Y</v>
      </c>
      <c r="N40" s="3" t="str">
        <f t="shared" si="19"/>
        <v>Y</v>
      </c>
      <c r="O40" s="3" t="str">
        <f t="shared" si="19"/>
        <v>Y</v>
      </c>
      <c r="P40" s="3" t="str">
        <f t="shared" si="19"/>
        <v>Y</v>
      </c>
      <c r="Q40" s="3" t="str">
        <f t="shared" si="19"/>
        <v>Y</v>
      </c>
      <c r="R40" s="3" t="str">
        <f t="shared" si="19"/>
        <v>Y</v>
      </c>
      <c r="S40" s="3" t="str">
        <f t="shared" si="19"/>
        <v>Y</v>
      </c>
      <c r="T40" s="3" t="str">
        <f t="shared" si="19"/>
        <v>Y</v>
      </c>
      <c r="U40" s="3" t="str">
        <f t="shared" si="19"/>
        <v>Y</v>
      </c>
      <c r="V40" s="3" t="str">
        <f t="shared" si="19"/>
        <v>Y</v>
      </c>
      <c r="W40" s="3" t="str">
        <f t="shared" si="19"/>
        <v>Y</v>
      </c>
      <c r="X40" s="3" t="str">
        <f t="shared" si="19"/>
        <v>Y</v>
      </c>
      <c r="Y40" s="3" t="str">
        <f t="shared" si="19"/>
        <v>Y</v>
      </c>
      <c r="Z40" s="3" t="str">
        <f t="shared" si="19"/>
        <v>Y</v>
      </c>
      <c r="AA40" s="3" t="str">
        <f t="shared" si="19"/>
        <v>Y</v>
      </c>
      <c r="AB40" s="3" t="str">
        <f t="shared" si="19"/>
        <v>Y</v>
      </c>
      <c r="AC40" s="3" t="str">
        <f t="shared" si="19"/>
        <v>Y</v>
      </c>
      <c r="AD40" s="3" t="str">
        <f t="shared" si="19"/>
        <v>Y</v>
      </c>
      <c r="AE40" s="3" t="str">
        <f t="shared" si="19"/>
        <v>Y</v>
      </c>
      <c r="AF40" s="3" t="str">
        <f t="shared" si="19"/>
        <v>Y</v>
      </c>
      <c r="AG40" s="3" t="str">
        <f t="shared" si="19"/>
        <v>Y</v>
      </c>
      <c r="AH40" s="3" t="str">
        <f t="shared" si="19"/>
        <v>Y</v>
      </c>
      <c r="AI40" s="3" t="str">
        <f t="shared" si="19"/>
        <v>Y</v>
      </c>
      <c r="AJ40" s="3" t="str">
        <f t="shared" si="19"/>
        <v>Y</v>
      </c>
      <c r="AK40" s="3" t="str">
        <f t="shared" si="19"/>
        <v>Y</v>
      </c>
      <c r="AL40" s="3" t="str">
        <f t="shared" si="19"/>
        <v>Y</v>
      </c>
      <c r="AM40" s="3" t="str">
        <f t="shared" si="19"/>
        <v>Y</v>
      </c>
    </row>
    <row r="41" ht="15.75" customHeight="1">
      <c r="A41" s="3" t="s">
        <v>154</v>
      </c>
      <c r="D41" s="3">
        <v>0.0</v>
      </c>
      <c r="E41" s="3">
        <v>0.0</v>
      </c>
      <c r="F41" s="3">
        <v>0.0</v>
      </c>
      <c r="G41" s="12">
        <f t="shared" ref="G41:AM41" si="20">G35-G38</f>
        <v>0</v>
      </c>
      <c r="H41" s="12">
        <f t="shared" si="20"/>
        <v>0</v>
      </c>
      <c r="I41" s="12">
        <f t="shared" si="20"/>
        <v>0</v>
      </c>
      <c r="J41" s="12">
        <f t="shared" si="20"/>
        <v>5795.020469</v>
      </c>
      <c r="K41" s="12">
        <f t="shared" si="20"/>
        <v>10451.66143</v>
      </c>
      <c r="L41" s="12">
        <f t="shared" si="20"/>
        <v>9369.137441</v>
      </c>
      <c r="M41" s="12">
        <f t="shared" si="20"/>
        <v>8091.604073</v>
      </c>
      <c r="N41" s="12">
        <f t="shared" si="20"/>
        <v>7149.384051</v>
      </c>
      <c r="O41" s="12">
        <f t="shared" si="20"/>
        <v>6391.262571</v>
      </c>
      <c r="P41" s="12">
        <f t="shared" si="20"/>
        <v>7426.929966</v>
      </c>
      <c r="Q41" s="12">
        <f t="shared" si="20"/>
        <v>5175</v>
      </c>
      <c r="R41" s="12">
        <f t="shared" si="20"/>
        <v>5175</v>
      </c>
      <c r="S41" s="12">
        <f t="shared" si="20"/>
        <v>5175</v>
      </c>
      <c r="T41" s="12">
        <f t="shared" si="20"/>
        <v>1293.75</v>
      </c>
      <c r="U41" s="12">
        <f t="shared" si="20"/>
        <v>1293.75</v>
      </c>
      <c r="V41" s="12">
        <f t="shared" si="20"/>
        <v>1293.75</v>
      </c>
      <c r="W41" s="12">
        <f t="shared" si="20"/>
        <v>1293.75</v>
      </c>
      <c r="X41" s="12">
        <f t="shared" si="20"/>
        <v>1293.75</v>
      </c>
      <c r="Y41" s="12">
        <f t="shared" si="20"/>
        <v>1293.75</v>
      </c>
      <c r="Z41" s="12">
        <f t="shared" si="20"/>
        <v>1293.75</v>
      </c>
      <c r="AA41" s="12">
        <f t="shared" si="20"/>
        <v>1293.75</v>
      </c>
      <c r="AB41" s="12">
        <f t="shared" si="20"/>
        <v>1293.75</v>
      </c>
      <c r="AC41" s="12">
        <f t="shared" si="20"/>
        <v>1293.75</v>
      </c>
      <c r="AD41" s="12">
        <f t="shared" si="20"/>
        <v>1293.75</v>
      </c>
      <c r="AE41" s="12">
        <f t="shared" si="20"/>
        <v>1293.75</v>
      </c>
      <c r="AF41" s="12">
        <f t="shared" si="20"/>
        <v>1293.75</v>
      </c>
      <c r="AG41" s="12">
        <f t="shared" si="20"/>
        <v>1293.75</v>
      </c>
      <c r="AH41" s="12">
        <f t="shared" si="20"/>
        <v>1293.75</v>
      </c>
      <c r="AI41" s="12">
        <f t="shared" si="20"/>
        <v>1293.75</v>
      </c>
      <c r="AJ41" s="12">
        <f t="shared" si="20"/>
        <v>1293.75</v>
      </c>
      <c r="AK41" s="12">
        <f t="shared" si="20"/>
        <v>1293.75</v>
      </c>
      <c r="AL41" s="12">
        <f t="shared" si="20"/>
        <v>1293.75</v>
      </c>
      <c r="AM41" s="12">
        <f t="shared" si="20"/>
        <v>1293.75</v>
      </c>
    </row>
    <row r="42" ht="15.75" customHeight="1"/>
    <row r="43" ht="15.75" customHeight="1">
      <c r="A43" s="2" t="str">
        <f>Acquisition_Plan!A8</f>
        <v>2026-06-01</v>
      </c>
      <c r="B43" s="12">
        <f>Acquisition_Plan!E8</f>
        <v>200000</v>
      </c>
      <c r="C43" s="12">
        <f>B43*(1+Inputs!$B$12)</f>
        <v>210000</v>
      </c>
    </row>
    <row r="44" ht="15.75" customHeight="1">
      <c r="A44" s="3" t="s">
        <v>147</v>
      </c>
      <c r="D44" s="3">
        <v>0.0</v>
      </c>
      <c r="E44" s="3">
        <v>0.0</v>
      </c>
      <c r="F44" s="3">
        <v>0.0</v>
      </c>
      <c r="G44" s="3">
        <v>0.0</v>
      </c>
      <c r="H44" s="12">
        <f>$B43*Inputs!$B$15*Curves!C5*(1-Inputs!$B$16)</f>
        <v>108997.5752</v>
      </c>
      <c r="I44" s="12">
        <f>$B43*Inputs!$B$15*Curves!C6*(1-Inputs!$B$16)</f>
        <v>51973.77767</v>
      </c>
      <c r="J44" s="12">
        <f>$B43*Inputs!$B$15*Curves!C7*(1-Inputs!$B$16)</f>
        <v>33315.72844</v>
      </c>
      <c r="K44" s="12">
        <f>$B43*Inputs!$B$15*Curves!C8*(1-Inputs!$B$16)</f>
        <v>23439.6126</v>
      </c>
      <c r="L44" s="12">
        <f>$B43*Inputs!$B$15*Curves!C9*(1-Inputs!$B$16)</f>
        <v>13935.54857</v>
      </c>
      <c r="M44" s="12">
        <f>$B43*Inputs!$B$15*Curves!C10*(1-Inputs!$B$16)</f>
        <v>12492.18326</v>
      </c>
      <c r="N44" s="12">
        <f>$B43*Inputs!$B$15*Curves!C11*(1-Inputs!$B$16)</f>
        <v>10788.80543</v>
      </c>
      <c r="O44" s="12">
        <f>$B43*Inputs!$B$15*Curves!C12*(1-Inputs!$B$16)</f>
        <v>9532.512068</v>
      </c>
      <c r="P44" s="12">
        <f>$B43*Inputs!$B$15*Curves!C13*(1-Inputs!$B$16)</f>
        <v>8521.683427</v>
      </c>
      <c r="Q44" s="12">
        <f>$B43*Inputs!$B$15*Curves!C14*(1-Inputs!$B$16)</f>
        <v>9902.573288</v>
      </c>
      <c r="R44" s="12">
        <f>$B43*Inputs!$B$15*Curves!C15*(1-Inputs!$B$16)</f>
        <v>6900</v>
      </c>
      <c r="S44" s="12">
        <f>$B43*Inputs!$B$15*Curves!C16*(1-Inputs!$B$16)</f>
        <v>6900</v>
      </c>
      <c r="T44" s="12">
        <f>$B43*Inputs!$B$15*Curves!C17*(1-Inputs!$B$16)</f>
        <v>6900</v>
      </c>
      <c r="U44" s="12">
        <f>$B43*Inputs!$B$15*Curves!C18*(1-Inputs!$B$16)</f>
        <v>1725</v>
      </c>
      <c r="V44" s="12">
        <f>$B43*Inputs!$B$15*Curves!C19*(1-Inputs!$B$16)</f>
        <v>1725</v>
      </c>
      <c r="W44" s="12">
        <f>$B43*Inputs!$B$15*Curves!C20*(1-Inputs!$B$16)</f>
        <v>1725</v>
      </c>
      <c r="X44" s="12">
        <f>$B43*Inputs!$B$15*Curves!C21*(1-Inputs!$B$16)</f>
        <v>1725</v>
      </c>
      <c r="Y44" s="12">
        <f>$B43*Inputs!$B$15*Curves!C22*(1-Inputs!$B$16)</f>
        <v>1725</v>
      </c>
      <c r="Z44" s="12">
        <f>$B43*Inputs!$B$15*Curves!C23*(1-Inputs!$B$16)</f>
        <v>1725</v>
      </c>
      <c r="AA44" s="12">
        <f>$B43*Inputs!$B$15*Curves!C24*(1-Inputs!$B$16)</f>
        <v>1725</v>
      </c>
      <c r="AB44" s="12">
        <f>$B43*Inputs!$B$15*Curves!C25*(1-Inputs!$B$16)</f>
        <v>1725</v>
      </c>
      <c r="AC44" s="12">
        <f>$B43*Inputs!$B$15*Curves!C26*(1-Inputs!$B$16)</f>
        <v>1725</v>
      </c>
      <c r="AD44" s="12">
        <f>$B43*Inputs!$B$15*Curves!C27*(1-Inputs!$B$16)</f>
        <v>1725</v>
      </c>
      <c r="AE44" s="12">
        <f>$B43*Inputs!$B$15*Curves!C28*(1-Inputs!$B$16)</f>
        <v>1725</v>
      </c>
      <c r="AF44" s="12">
        <f>$B43*Inputs!$B$15*Curves!C29*(1-Inputs!$B$16)</f>
        <v>1725</v>
      </c>
      <c r="AG44" s="12">
        <f>$B43*Inputs!$B$15*Curves!C30*(1-Inputs!$B$16)</f>
        <v>1725</v>
      </c>
      <c r="AH44" s="12">
        <f>$B43*Inputs!$B$15*Curves!C31*(1-Inputs!$B$16)</f>
        <v>1725</v>
      </c>
      <c r="AI44" s="12">
        <f>$B43*Inputs!$B$15*Curves!C32*(1-Inputs!$B$16)</f>
        <v>1725</v>
      </c>
      <c r="AJ44" s="12">
        <f>$B43*Inputs!$B$15*Curves!C33*(1-Inputs!$B$16)</f>
        <v>1725</v>
      </c>
      <c r="AK44" s="12">
        <f>$B43*Inputs!$B$15*Curves!C34*(1-Inputs!$B$16)</f>
        <v>1725</v>
      </c>
      <c r="AL44" s="12">
        <f>$B43*Inputs!$B$15*Curves!C35*(1-Inputs!$B$16)</f>
        <v>1725</v>
      </c>
      <c r="AM44" s="12">
        <f>$B43*Inputs!$B$15*Curves!C36*(1-Inputs!$B$16)</f>
        <v>1725</v>
      </c>
    </row>
    <row r="45" ht="15.75" customHeight="1">
      <c r="A45" s="3" t="s">
        <v>148</v>
      </c>
      <c r="D45" s="3">
        <v>0.0</v>
      </c>
      <c r="E45" s="3">
        <v>0.0</v>
      </c>
      <c r="F45" s="3">
        <v>0.0</v>
      </c>
      <c r="G45" s="3">
        <v>0.0</v>
      </c>
      <c r="H45" s="3" t="s">
        <v>149</v>
      </c>
      <c r="I45" s="3" t="str">
        <f t="shared" ref="I45:AM45" si="21">IF($B43=0, "N", IF(H48&gt;=$B43, "Y", "N"))</f>
        <v>N</v>
      </c>
      <c r="J45" s="3" t="str">
        <f t="shared" si="21"/>
        <v>N</v>
      </c>
      <c r="K45" s="3" t="str">
        <f t="shared" si="21"/>
        <v>N</v>
      </c>
      <c r="L45" s="3" t="str">
        <f t="shared" si="21"/>
        <v>Y</v>
      </c>
      <c r="M45" s="3" t="str">
        <f t="shared" si="21"/>
        <v>Y</v>
      </c>
      <c r="N45" s="3" t="str">
        <f t="shared" si="21"/>
        <v>Y</v>
      </c>
      <c r="O45" s="3" t="str">
        <f t="shared" si="21"/>
        <v>Y</v>
      </c>
      <c r="P45" s="3" t="str">
        <f t="shared" si="21"/>
        <v>Y</v>
      </c>
      <c r="Q45" s="3" t="str">
        <f t="shared" si="21"/>
        <v>Y</v>
      </c>
      <c r="R45" s="3" t="str">
        <f t="shared" si="21"/>
        <v>Y</v>
      </c>
      <c r="S45" s="3" t="str">
        <f t="shared" si="21"/>
        <v>Y</v>
      </c>
      <c r="T45" s="3" t="str">
        <f t="shared" si="21"/>
        <v>Y</v>
      </c>
      <c r="U45" s="3" t="str">
        <f t="shared" si="21"/>
        <v>Y</v>
      </c>
      <c r="V45" s="3" t="str">
        <f t="shared" si="21"/>
        <v>Y</v>
      </c>
      <c r="W45" s="3" t="str">
        <f t="shared" si="21"/>
        <v>Y</v>
      </c>
      <c r="X45" s="3" t="str">
        <f t="shared" si="21"/>
        <v>Y</v>
      </c>
      <c r="Y45" s="3" t="str">
        <f t="shared" si="21"/>
        <v>Y</v>
      </c>
      <c r="Z45" s="3" t="str">
        <f t="shared" si="21"/>
        <v>Y</v>
      </c>
      <c r="AA45" s="3" t="str">
        <f t="shared" si="21"/>
        <v>Y</v>
      </c>
      <c r="AB45" s="3" t="str">
        <f t="shared" si="21"/>
        <v>Y</v>
      </c>
      <c r="AC45" s="3" t="str">
        <f t="shared" si="21"/>
        <v>Y</v>
      </c>
      <c r="AD45" s="3" t="str">
        <f t="shared" si="21"/>
        <v>Y</v>
      </c>
      <c r="AE45" s="3" t="str">
        <f t="shared" si="21"/>
        <v>Y</v>
      </c>
      <c r="AF45" s="3" t="str">
        <f t="shared" si="21"/>
        <v>Y</v>
      </c>
      <c r="AG45" s="3" t="str">
        <f t="shared" si="21"/>
        <v>Y</v>
      </c>
      <c r="AH45" s="3" t="str">
        <f t="shared" si="21"/>
        <v>Y</v>
      </c>
      <c r="AI45" s="3" t="str">
        <f t="shared" si="21"/>
        <v>Y</v>
      </c>
      <c r="AJ45" s="3" t="str">
        <f t="shared" si="21"/>
        <v>Y</v>
      </c>
      <c r="AK45" s="3" t="str">
        <f t="shared" si="21"/>
        <v>Y</v>
      </c>
      <c r="AL45" s="3" t="str">
        <f t="shared" si="21"/>
        <v>Y</v>
      </c>
      <c r="AM45" s="3" t="str">
        <f t="shared" si="21"/>
        <v>Y</v>
      </c>
    </row>
    <row r="46" ht="15.75" customHeight="1">
      <c r="A46" s="3" t="s">
        <v>150</v>
      </c>
      <c r="D46" s="3">
        <v>0.0</v>
      </c>
      <c r="E46" s="3">
        <v>0.0</v>
      </c>
      <c r="F46" s="3">
        <v>0.0</v>
      </c>
      <c r="G46" s="3">
        <v>0.0</v>
      </c>
      <c r="H46" s="12">
        <v>0.0</v>
      </c>
      <c r="I46" s="12">
        <f>IF(AND(I45="Y", H49="N"), $B43*Inputs!$B$12/12, 0)</f>
        <v>0</v>
      </c>
      <c r="J46" s="12">
        <f>IF(AND(J45="Y", I49="N"), $B43*Inputs!$B$12/12, 0)</f>
        <v>0</v>
      </c>
      <c r="K46" s="12">
        <f>IF(AND(K45="Y", J49="N"), $B43*Inputs!$B$12/12, 0)</f>
        <v>0</v>
      </c>
      <c r="L46" s="12">
        <f>IF(AND(L45="Y", K49="N"), $B43*Inputs!$B$12/12, 0)</f>
        <v>0</v>
      </c>
      <c r="M46" s="12">
        <f>IF(AND(M45="Y", L49="N"), $B43*Inputs!$B$12/12, 0)</f>
        <v>0</v>
      </c>
      <c r="N46" s="12">
        <f>IF(AND(N45="Y", M49="N"), $B43*Inputs!$B$12/12, 0)</f>
        <v>0</v>
      </c>
      <c r="O46" s="12">
        <f>IF(AND(O45="Y", N49="N"), $B43*Inputs!$B$12/12, 0)</f>
        <v>0</v>
      </c>
      <c r="P46" s="12">
        <f>IF(AND(P45="Y", O49="N"), $B43*Inputs!$B$12/12, 0)</f>
        <v>0</v>
      </c>
      <c r="Q46" s="12">
        <f>IF(AND(Q45="Y", P49="N"), $B43*Inputs!$B$12/12, 0)</f>
        <v>0</v>
      </c>
      <c r="R46" s="12">
        <f>IF(AND(R45="Y", Q49="N"), $B43*Inputs!$B$12/12, 0)</f>
        <v>0</v>
      </c>
      <c r="S46" s="12">
        <f>IF(AND(S45="Y", R49="N"), $B43*Inputs!$B$12/12, 0)</f>
        <v>0</v>
      </c>
      <c r="T46" s="12">
        <f>IF(AND(T45="Y", S49="N"), $B43*Inputs!$B$12/12, 0)</f>
        <v>0</v>
      </c>
      <c r="U46" s="12">
        <f>IF(AND(U45="Y", T49="N"), $B43*Inputs!$B$12/12, 0)</f>
        <v>0</v>
      </c>
      <c r="V46" s="12">
        <f>IF(AND(V45="Y", U49="N"), $B43*Inputs!$B$12/12, 0)</f>
        <v>0</v>
      </c>
      <c r="W46" s="12">
        <f>IF(AND(W45="Y", V49="N"), $B43*Inputs!$B$12/12, 0)</f>
        <v>0</v>
      </c>
      <c r="X46" s="12">
        <f>IF(AND(X45="Y", W49="N"), $B43*Inputs!$B$12/12, 0)</f>
        <v>0</v>
      </c>
      <c r="Y46" s="12">
        <f>IF(AND(Y45="Y", X49="N"), $B43*Inputs!$B$12/12, 0)</f>
        <v>0</v>
      </c>
      <c r="Z46" s="12">
        <f>IF(AND(Z45="Y", Y49="N"), $B43*Inputs!$B$12/12, 0)</f>
        <v>0</v>
      </c>
      <c r="AA46" s="12">
        <f>IF(AND(AA45="Y", Z49="N"), $B43*Inputs!$B$12/12, 0)</f>
        <v>0</v>
      </c>
      <c r="AB46" s="12">
        <f>IF(AND(AB45="Y", AA49="N"), $B43*Inputs!$B$12/12, 0)</f>
        <v>0</v>
      </c>
      <c r="AC46" s="12">
        <f>IF(AND(AC45="Y", AB49="N"), $B43*Inputs!$B$12/12, 0)</f>
        <v>0</v>
      </c>
      <c r="AD46" s="12">
        <f>IF(AND(AD45="Y", AC49="N"), $B43*Inputs!$B$12/12, 0)</f>
        <v>0</v>
      </c>
      <c r="AE46" s="12">
        <f>IF(AND(AE45="Y", AD49="N"), $B43*Inputs!$B$12/12, 0)</f>
        <v>0</v>
      </c>
      <c r="AF46" s="12">
        <f>IF(AND(AF45="Y", AE49="N"), $B43*Inputs!$B$12/12, 0)</f>
        <v>0</v>
      </c>
      <c r="AG46" s="12">
        <f>IF(AND(AG45="Y", AF49="N"), $B43*Inputs!$B$12/12, 0)</f>
        <v>0</v>
      </c>
      <c r="AH46" s="12">
        <f>IF(AND(AH45="Y", AG49="N"), $B43*Inputs!$B$12/12, 0)</f>
        <v>0</v>
      </c>
      <c r="AI46" s="12">
        <f>IF(AND(AI45="Y", AH49="N"), $B43*Inputs!$B$12/12, 0)</f>
        <v>0</v>
      </c>
      <c r="AJ46" s="12">
        <f>IF(AND(AJ45="Y", AI49="N"), $B43*Inputs!$B$12/12, 0)</f>
        <v>0</v>
      </c>
      <c r="AK46" s="12">
        <f>IF(AND(AK45="Y", AJ49="N"), $B43*Inputs!$B$12/12, 0)</f>
        <v>0</v>
      </c>
      <c r="AL46" s="12">
        <f>IF(AND(AL45="Y", AK49="N"), $B43*Inputs!$B$12/12, 0)</f>
        <v>0</v>
      </c>
      <c r="AM46" s="12">
        <f>IF(AND(AM45="Y", AL49="N"), $B43*Inputs!$B$12/12, 0)</f>
        <v>0</v>
      </c>
    </row>
    <row r="47" ht="15.75" customHeight="1">
      <c r="A47" s="3" t="s">
        <v>151</v>
      </c>
      <c r="D47" s="3">
        <v>0.0</v>
      </c>
      <c r="E47" s="3">
        <v>0.0</v>
      </c>
      <c r="F47" s="3">
        <v>0.0</v>
      </c>
      <c r="G47" s="3">
        <v>0.0</v>
      </c>
      <c r="H47" s="12">
        <f>IF($B43=0, 0, MIN(H44, $C43))</f>
        <v>108997.5752</v>
      </c>
      <c r="I47" s="12">
        <f t="shared" ref="I47:AM47" si="22">IF($B43=0, 0, IF(H49="Y", 0, IF(I45="N", MIN(I44, $C43-H48), MIN(I44*0.5+I46, $C43-H48))))</f>
        <v>51973.77767</v>
      </c>
      <c r="J47" s="12">
        <f t="shared" si="22"/>
        <v>33315.72844</v>
      </c>
      <c r="K47" s="12">
        <f t="shared" si="22"/>
        <v>15712.91864</v>
      </c>
      <c r="L47" s="12">
        <f t="shared" si="22"/>
        <v>0</v>
      </c>
      <c r="M47" s="12">
        <f t="shared" si="22"/>
        <v>0</v>
      </c>
      <c r="N47" s="12">
        <f t="shared" si="22"/>
        <v>0</v>
      </c>
      <c r="O47" s="12">
        <f t="shared" si="22"/>
        <v>0</v>
      </c>
      <c r="P47" s="12">
        <f t="shared" si="22"/>
        <v>0</v>
      </c>
      <c r="Q47" s="12">
        <f t="shared" si="22"/>
        <v>0</v>
      </c>
      <c r="R47" s="12">
        <f t="shared" si="22"/>
        <v>0</v>
      </c>
      <c r="S47" s="12">
        <f t="shared" si="22"/>
        <v>0</v>
      </c>
      <c r="T47" s="12">
        <f t="shared" si="22"/>
        <v>0</v>
      </c>
      <c r="U47" s="12">
        <f t="shared" si="22"/>
        <v>0</v>
      </c>
      <c r="V47" s="12">
        <f t="shared" si="22"/>
        <v>0</v>
      </c>
      <c r="W47" s="12">
        <f t="shared" si="22"/>
        <v>0</v>
      </c>
      <c r="X47" s="12">
        <f t="shared" si="22"/>
        <v>0</v>
      </c>
      <c r="Y47" s="12">
        <f t="shared" si="22"/>
        <v>0</v>
      </c>
      <c r="Z47" s="12">
        <f t="shared" si="22"/>
        <v>0</v>
      </c>
      <c r="AA47" s="12">
        <f t="shared" si="22"/>
        <v>0</v>
      </c>
      <c r="AB47" s="12">
        <f t="shared" si="22"/>
        <v>0</v>
      </c>
      <c r="AC47" s="12">
        <f t="shared" si="22"/>
        <v>0</v>
      </c>
      <c r="AD47" s="12">
        <f t="shared" si="22"/>
        <v>0</v>
      </c>
      <c r="AE47" s="12">
        <f t="shared" si="22"/>
        <v>0</v>
      </c>
      <c r="AF47" s="12">
        <f t="shared" si="22"/>
        <v>0</v>
      </c>
      <c r="AG47" s="12">
        <f t="shared" si="22"/>
        <v>0</v>
      </c>
      <c r="AH47" s="12">
        <f t="shared" si="22"/>
        <v>0</v>
      </c>
      <c r="AI47" s="12">
        <f t="shared" si="22"/>
        <v>0</v>
      </c>
      <c r="AJ47" s="12">
        <f t="shared" si="22"/>
        <v>0</v>
      </c>
      <c r="AK47" s="12">
        <f t="shared" si="22"/>
        <v>0</v>
      </c>
      <c r="AL47" s="12">
        <f t="shared" si="22"/>
        <v>0</v>
      </c>
      <c r="AM47" s="12">
        <f t="shared" si="22"/>
        <v>0</v>
      </c>
    </row>
    <row r="48" ht="15.75" customHeight="1">
      <c r="A48" s="3" t="s">
        <v>152</v>
      </c>
      <c r="D48" s="3">
        <v>0.0</v>
      </c>
      <c r="E48" s="3">
        <v>0.0</v>
      </c>
      <c r="F48" s="3">
        <v>0.0</v>
      </c>
      <c r="G48" s="3">
        <v>0.0</v>
      </c>
      <c r="H48" s="12">
        <f>H47</f>
        <v>108997.5752</v>
      </c>
      <c r="I48" s="12">
        <f t="shared" ref="I48:AM48" si="23">H48+I47</f>
        <v>160971.3529</v>
      </c>
      <c r="J48" s="12">
        <f t="shared" si="23"/>
        <v>194287.0814</v>
      </c>
      <c r="K48" s="12">
        <f t="shared" si="23"/>
        <v>210000</v>
      </c>
      <c r="L48" s="12">
        <f t="shared" si="23"/>
        <v>210000</v>
      </c>
      <c r="M48" s="12">
        <f t="shared" si="23"/>
        <v>210000</v>
      </c>
      <c r="N48" s="12">
        <f t="shared" si="23"/>
        <v>210000</v>
      </c>
      <c r="O48" s="12">
        <f t="shared" si="23"/>
        <v>210000</v>
      </c>
      <c r="P48" s="12">
        <f t="shared" si="23"/>
        <v>210000</v>
      </c>
      <c r="Q48" s="12">
        <f t="shared" si="23"/>
        <v>210000</v>
      </c>
      <c r="R48" s="12">
        <f t="shared" si="23"/>
        <v>210000</v>
      </c>
      <c r="S48" s="12">
        <f t="shared" si="23"/>
        <v>210000</v>
      </c>
      <c r="T48" s="12">
        <f t="shared" si="23"/>
        <v>210000</v>
      </c>
      <c r="U48" s="12">
        <f t="shared" si="23"/>
        <v>210000</v>
      </c>
      <c r="V48" s="12">
        <f t="shared" si="23"/>
        <v>210000</v>
      </c>
      <c r="W48" s="12">
        <f t="shared" si="23"/>
        <v>210000</v>
      </c>
      <c r="X48" s="12">
        <f t="shared" si="23"/>
        <v>210000</v>
      </c>
      <c r="Y48" s="12">
        <f t="shared" si="23"/>
        <v>210000</v>
      </c>
      <c r="Z48" s="12">
        <f t="shared" si="23"/>
        <v>210000</v>
      </c>
      <c r="AA48" s="12">
        <f t="shared" si="23"/>
        <v>210000</v>
      </c>
      <c r="AB48" s="12">
        <f t="shared" si="23"/>
        <v>210000</v>
      </c>
      <c r="AC48" s="12">
        <f t="shared" si="23"/>
        <v>210000</v>
      </c>
      <c r="AD48" s="12">
        <f t="shared" si="23"/>
        <v>210000</v>
      </c>
      <c r="AE48" s="12">
        <f t="shared" si="23"/>
        <v>210000</v>
      </c>
      <c r="AF48" s="12">
        <f t="shared" si="23"/>
        <v>210000</v>
      </c>
      <c r="AG48" s="12">
        <f t="shared" si="23"/>
        <v>210000</v>
      </c>
      <c r="AH48" s="12">
        <f t="shared" si="23"/>
        <v>210000</v>
      </c>
      <c r="AI48" s="12">
        <f t="shared" si="23"/>
        <v>210000</v>
      </c>
      <c r="AJ48" s="12">
        <f t="shared" si="23"/>
        <v>210000</v>
      </c>
      <c r="AK48" s="12">
        <f t="shared" si="23"/>
        <v>210000</v>
      </c>
      <c r="AL48" s="12">
        <f t="shared" si="23"/>
        <v>210000</v>
      </c>
      <c r="AM48" s="12">
        <f t="shared" si="23"/>
        <v>210000</v>
      </c>
    </row>
    <row r="49" ht="15.75" customHeight="1">
      <c r="A49" s="3" t="s">
        <v>153</v>
      </c>
      <c r="D49" s="3">
        <v>0.0</v>
      </c>
      <c r="E49" s="3">
        <v>0.0</v>
      </c>
      <c r="F49" s="3">
        <v>0.0</v>
      </c>
      <c r="G49" s="3">
        <v>0.0</v>
      </c>
      <c r="H49" s="3" t="str">
        <f t="shared" ref="H49:AM49" si="24">IF(H48&gt;=$C43, "Y", "N")</f>
        <v>N</v>
      </c>
      <c r="I49" s="3" t="str">
        <f t="shared" si="24"/>
        <v>N</v>
      </c>
      <c r="J49" s="3" t="str">
        <f t="shared" si="24"/>
        <v>N</v>
      </c>
      <c r="K49" s="3" t="str">
        <f t="shared" si="24"/>
        <v>Y</v>
      </c>
      <c r="L49" s="3" t="str">
        <f t="shared" si="24"/>
        <v>Y</v>
      </c>
      <c r="M49" s="3" t="str">
        <f t="shared" si="24"/>
        <v>Y</v>
      </c>
      <c r="N49" s="3" t="str">
        <f t="shared" si="24"/>
        <v>Y</v>
      </c>
      <c r="O49" s="3" t="str">
        <f t="shared" si="24"/>
        <v>Y</v>
      </c>
      <c r="P49" s="3" t="str">
        <f t="shared" si="24"/>
        <v>Y</v>
      </c>
      <c r="Q49" s="3" t="str">
        <f t="shared" si="24"/>
        <v>Y</v>
      </c>
      <c r="R49" s="3" t="str">
        <f t="shared" si="24"/>
        <v>Y</v>
      </c>
      <c r="S49" s="3" t="str">
        <f t="shared" si="24"/>
        <v>Y</v>
      </c>
      <c r="T49" s="3" t="str">
        <f t="shared" si="24"/>
        <v>Y</v>
      </c>
      <c r="U49" s="3" t="str">
        <f t="shared" si="24"/>
        <v>Y</v>
      </c>
      <c r="V49" s="3" t="str">
        <f t="shared" si="24"/>
        <v>Y</v>
      </c>
      <c r="W49" s="3" t="str">
        <f t="shared" si="24"/>
        <v>Y</v>
      </c>
      <c r="X49" s="3" t="str">
        <f t="shared" si="24"/>
        <v>Y</v>
      </c>
      <c r="Y49" s="3" t="str">
        <f t="shared" si="24"/>
        <v>Y</v>
      </c>
      <c r="Z49" s="3" t="str">
        <f t="shared" si="24"/>
        <v>Y</v>
      </c>
      <c r="AA49" s="3" t="str">
        <f t="shared" si="24"/>
        <v>Y</v>
      </c>
      <c r="AB49" s="3" t="str">
        <f t="shared" si="24"/>
        <v>Y</v>
      </c>
      <c r="AC49" s="3" t="str">
        <f t="shared" si="24"/>
        <v>Y</v>
      </c>
      <c r="AD49" s="3" t="str">
        <f t="shared" si="24"/>
        <v>Y</v>
      </c>
      <c r="AE49" s="3" t="str">
        <f t="shared" si="24"/>
        <v>Y</v>
      </c>
      <c r="AF49" s="3" t="str">
        <f t="shared" si="24"/>
        <v>Y</v>
      </c>
      <c r="AG49" s="3" t="str">
        <f t="shared" si="24"/>
        <v>Y</v>
      </c>
      <c r="AH49" s="3" t="str">
        <f t="shared" si="24"/>
        <v>Y</v>
      </c>
      <c r="AI49" s="3" t="str">
        <f t="shared" si="24"/>
        <v>Y</v>
      </c>
      <c r="AJ49" s="3" t="str">
        <f t="shared" si="24"/>
        <v>Y</v>
      </c>
      <c r="AK49" s="3" t="str">
        <f t="shared" si="24"/>
        <v>Y</v>
      </c>
      <c r="AL49" s="3" t="str">
        <f t="shared" si="24"/>
        <v>Y</v>
      </c>
      <c r="AM49" s="3" t="str">
        <f t="shared" si="24"/>
        <v>Y</v>
      </c>
    </row>
    <row r="50" ht="15.75" customHeight="1">
      <c r="A50" s="3" t="s">
        <v>154</v>
      </c>
      <c r="D50" s="3">
        <v>0.0</v>
      </c>
      <c r="E50" s="3">
        <v>0.0</v>
      </c>
      <c r="F50" s="3">
        <v>0.0</v>
      </c>
      <c r="G50" s="3">
        <v>0.0</v>
      </c>
      <c r="H50" s="12">
        <f t="shared" ref="H50:AM50" si="25">H44-H47</f>
        <v>0</v>
      </c>
      <c r="I50" s="12">
        <f t="shared" si="25"/>
        <v>0</v>
      </c>
      <c r="J50" s="12">
        <f t="shared" si="25"/>
        <v>0</v>
      </c>
      <c r="K50" s="12">
        <f t="shared" si="25"/>
        <v>7726.693959</v>
      </c>
      <c r="L50" s="12">
        <f t="shared" si="25"/>
        <v>13935.54857</v>
      </c>
      <c r="M50" s="12">
        <f t="shared" si="25"/>
        <v>12492.18326</v>
      </c>
      <c r="N50" s="12">
        <f t="shared" si="25"/>
        <v>10788.80543</v>
      </c>
      <c r="O50" s="12">
        <f t="shared" si="25"/>
        <v>9532.512068</v>
      </c>
      <c r="P50" s="12">
        <f t="shared" si="25"/>
        <v>8521.683427</v>
      </c>
      <c r="Q50" s="12">
        <f t="shared" si="25"/>
        <v>9902.573288</v>
      </c>
      <c r="R50" s="12">
        <f t="shared" si="25"/>
        <v>6900</v>
      </c>
      <c r="S50" s="12">
        <f t="shared" si="25"/>
        <v>6900</v>
      </c>
      <c r="T50" s="12">
        <f t="shared" si="25"/>
        <v>6900</v>
      </c>
      <c r="U50" s="12">
        <f t="shared" si="25"/>
        <v>1725</v>
      </c>
      <c r="V50" s="12">
        <f t="shared" si="25"/>
        <v>1725</v>
      </c>
      <c r="W50" s="12">
        <f t="shared" si="25"/>
        <v>1725</v>
      </c>
      <c r="X50" s="12">
        <f t="shared" si="25"/>
        <v>1725</v>
      </c>
      <c r="Y50" s="12">
        <f t="shared" si="25"/>
        <v>1725</v>
      </c>
      <c r="Z50" s="12">
        <f t="shared" si="25"/>
        <v>1725</v>
      </c>
      <c r="AA50" s="12">
        <f t="shared" si="25"/>
        <v>1725</v>
      </c>
      <c r="AB50" s="12">
        <f t="shared" si="25"/>
        <v>1725</v>
      </c>
      <c r="AC50" s="12">
        <f t="shared" si="25"/>
        <v>1725</v>
      </c>
      <c r="AD50" s="12">
        <f t="shared" si="25"/>
        <v>1725</v>
      </c>
      <c r="AE50" s="12">
        <f t="shared" si="25"/>
        <v>1725</v>
      </c>
      <c r="AF50" s="12">
        <f t="shared" si="25"/>
        <v>1725</v>
      </c>
      <c r="AG50" s="12">
        <f t="shared" si="25"/>
        <v>1725</v>
      </c>
      <c r="AH50" s="12">
        <f t="shared" si="25"/>
        <v>1725</v>
      </c>
      <c r="AI50" s="12">
        <f t="shared" si="25"/>
        <v>1725</v>
      </c>
      <c r="AJ50" s="12">
        <f t="shared" si="25"/>
        <v>1725</v>
      </c>
      <c r="AK50" s="12">
        <f t="shared" si="25"/>
        <v>1725</v>
      </c>
      <c r="AL50" s="12">
        <f t="shared" si="25"/>
        <v>1725</v>
      </c>
      <c r="AM50" s="12">
        <f t="shared" si="25"/>
        <v>1725</v>
      </c>
    </row>
    <row r="51" ht="15.75" customHeight="1"/>
    <row r="52" ht="15.75" customHeight="1">
      <c r="A52" s="2" t="str">
        <f>Acquisition_Plan!A9</f>
        <v>2026-07-01</v>
      </c>
      <c r="B52" s="12">
        <f>Acquisition_Plan!E9</f>
        <v>200000</v>
      </c>
      <c r="C52" s="12">
        <f>B52*(1+Inputs!$B$12)</f>
        <v>210000</v>
      </c>
    </row>
    <row r="53" ht="15.75" customHeight="1">
      <c r="A53" s="3" t="s">
        <v>147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12">
        <f>$B52*Inputs!$B$15*Curves!C5*(1-Inputs!$B$16)</f>
        <v>108997.5752</v>
      </c>
      <c r="J53" s="12">
        <f>$B52*Inputs!$B$15*Curves!C6*(1-Inputs!$B$16)</f>
        <v>51973.77767</v>
      </c>
      <c r="K53" s="12">
        <f>$B52*Inputs!$B$15*Curves!C7*(1-Inputs!$B$16)</f>
        <v>33315.72844</v>
      </c>
      <c r="L53" s="12">
        <f>$B52*Inputs!$B$15*Curves!C8*(1-Inputs!$B$16)</f>
        <v>23439.6126</v>
      </c>
      <c r="M53" s="12">
        <f>$B52*Inputs!$B$15*Curves!C9*(1-Inputs!$B$16)</f>
        <v>13935.54857</v>
      </c>
      <c r="N53" s="12">
        <f>$B52*Inputs!$B$15*Curves!C10*(1-Inputs!$B$16)</f>
        <v>12492.18326</v>
      </c>
      <c r="O53" s="12">
        <f>$B52*Inputs!$B$15*Curves!C11*(1-Inputs!$B$16)</f>
        <v>10788.80543</v>
      </c>
      <c r="P53" s="12">
        <f>$B52*Inputs!$B$15*Curves!C12*(1-Inputs!$B$16)</f>
        <v>9532.512068</v>
      </c>
      <c r="Q53" s="12">
        <f>$B52*Inputs!$B$15*Curves!C13*(1-Inputs!$B$16)</f>
        <v>8521.683427</v>
      </c>
      <c r="R53" s="12">
        <f>$B52*Inputs!$B$15*Curves!C14*(1-Inputs!$B$16)</f>
        <v>9902.573288</v>
      </c>
      <c r="S53" s="12">
        <f>$B52*Inputs!$B$15*Curves!C15*(1-Inputs!$B$16)</f>
        <v>6900</v>
      </c>
      <c r="T53" s="12">
        <f>$B52*Inputs!$B$15*Curves!C16*(1-Inputs!$B$16)</f>
        <v>6900</v>
      </c>
      <c r="U53" s="12">
        <f>$B52*Inputs!$B$15*Curves!C17*(1-Inputs!$B$16)</f>
        <v>6900</v>
      </c>
      <c r="V53" s="12">
        <f>$B52*Inputs!$B$15*Curves!C18*(1-Inputs!$B$16)</f>
        <v>1725</v>
      </c>
      <c r="W53" s="12">
        <f>$B52*Inputs!$B$15*Curves!C19*(1-Inputs!$B$16)</f>
        <v>1725</v>
      </c>
      <c r="X53" s="12">
        <f>$B52*Inputs!$B$15*Curves!C20*(1-Inputs!$B$16)</f>
        <v>1725</v>
      </c>
      <c r="Y53" s="12">
        <f>$B52*Inputs!$B$15*Curves!C21*(1-Inputs!$B$16)</f>
        <v>1725</v>
      </c>
      <c r="Z53" s="12">
        <f>$B52*Inputs!$B$15*Curves!C22*(1-Inputs!$B$16)</f>
        <v>1725</v>
      </c>
      <c r="AA53" s="12">
        <f>$B52*Inputs!$B$15*Curves!C23*(1-Inputs!$B$16)</f>
        <v>1725</v>
      </c>
      <c r="AB53" s="12">
        <f>$B52*Inputs!$B$15*Curves!C24*(1-Inputs!$B$16)</f>
        <v>1725</v>
      </c>
      <c r="AC53" s="12">
        <f>$B52*Inputs!$B$15*Curves!C25*(1-Inputs!$B$16)</f>
        <v>1725</v>
      </c>
      <c r="AD53" s="12">
        <f>$B52*Inputs!$B$15*Curves!C26*(1-Inputs!$B$16)</f>
        <v>1725</v>
      </c>
      <c r="AE53" s="12">
        <f>$B52*Inputs!$B$15*Curves!C27*(1-Inputs!$B$16)</f>
        <v>1725</v>
      </c>
      <c r="AF53" s="12">
        <f>$B52*Inputs!$B$15*Curves!C28*(1-Inputs!$B$16)</f>
        <v>1725</v>
      </c>
      <c r="AG53" s="12">
        <f>$B52*Inputs!$B$15*Curves!C29*(1-Inputs!$B$16)</f>
        <v>1725</v>
      </c>
      <c r="AH53" s="12">
        <f>$B52*Inputs!$B$15*Curves!C30*(1-Inputs!$B$16)</f>
        <v>1725</v>
      </c>
      <c r="AI53" s="12">
        <f>$B52*Inputs!$B$15*Curves!C31*(1-Inputs!$B$16)</f>
        <v>1725</v>
      </c>
      <c r="AJ53" s="12">
        <f>$B52*Inputs!$B$15*Curves!C32*(1-Inputs!$B$16)</f>
        <v>1725</v>
      </c>
      <c r="AK53" s="12">
        <f>$B52*Inputs!$B$15*Curves!C33*(1-Inputs!$B$16)</f>
        <v>1725</v>
      </c>
      <c r="AL53" s="12">
        <f>$B52*Inputs!$B$15*Curves!C34*(1-Inputs!$B$16)</f>
        <v>1725</v>
      </c>
      <c r="AM53" s="12">
        <f>$B52*Inputs!$B$15*Curves!C35*(1-Inputs!$B$16)</f>
        <v>1725</v>
      </c>
    </row>
    <row r="54" ht="15.75" customHeight="1">
      <c r="A54" s="3" t="s">
        <v>148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 t="s">
        <v>149</v>
      </c>
      <c r="J54" s="3" t="str">
        <f t="shared" ref="J54:AM54" si="26">IF($B52=0, "N", IF(I57&gt;=$B52, "Y", "N"))</f>
        <v>N</v>
      </c>
      <c r="K54" s="3" t="str">
        <f t="shared" si="26"/>
        <v>N</v>
      </c>
      <c r="L54" s="3" t="str">
        <f t="shared" si="26"/>
        <v>N</v>
      </c>
      <c r="M54" s="3" t="str">
        <f t="shared" si="26"/>
        <v>Y</v>
      </c>
      <c r="N54" s="3" t="str">
        <f t="shared" si="26"/>
        <v>Y</v>
      </c>
      <c r="O54" s="3" t="str">
        <f t="shared" si="26"/>
        <v>Y</v>
      </c>
      <c r="P54" s="3" t="str">
        <f t="shared" si="26"/>
        <v>Y</v>
      </c>
      <c r="Q54" s="3" t="str">
        <f t="shared" si="26"/>
        <v>Y</v>
      </c>
      <c r="R54" s="3" t="str">
        <f t="shared" si="26"/>
        <v>Y</v>
      </c>
      <c r="S54" s="3" t="str">
        <f t="shared" si="26"/>
        <v>Y</v>
      </c>
      <c r="T54" s="3" t="str">
        <f t="shared" si="26"/>
        <v>Y</v>
      </c>
      <c r="U54" s="3" t="str">
        <f t="shared" si="26"/>
        <v>Y</v>
      </c>
      <c r="V54" s="3" t="str">
        <f t="shared" si="26"/>
        <v>Y</v>
      </c>
      <c r="W54" s="3" t="str">
        <f t="shared" si="26"/>
        <v>Y</v>
      </c>
      <c r="X54" s="3" t="str">
        <f t="shared" si="26"/>
        <v>Y</v>
      </c>
      <c r="Y54" s="3" t="str">
        <f t="shared" si="26"/>
        <v>Y</v>
      </c>
      <c r="Z54" s="3" t="str">
        <f t="shared" si="26"/>
        <v>Y</v>
      </c>
      <c r="AA54" s="3" t="str">
        <f t="shared" si="26"/>
        <v>Y</v>
      </c>
      <c r="AB54" s="3" t="str">
        <f t="shared" si="26"/>
        <v>Y</v>
      </c>
      <c r="AC54" s="3" t="str">
        <f t="shared" si="26"/>
        <v>Y</v>
      </c>
      <c r="AD54" s="3" t="str">
        <f t="shared" si="26"/>
        <v>Y</v>
      </c>
      <c r="AE54" s="3" t="str">
        <f t="shared" si="26"/>
        <v>Y</v>
      </c>
      <c r="AF54" s="3" t="str">
        <f t="shared" si="26"/>
        <v>Y</v>
      </c>
      <c r="AG54" s="3" t="str">
        <f t="shared" si="26"/>
        <v>Y</v>
      </c>
      <c r="AH54" s="3" t="str">
        <f t="shared" si="26"/>
        <v>Y</v>
      </c>
      <c r="AI54" s="3" t="str">
        <f t="shared" si="26"/>
        <v>Y</v>
      </c>
      <c r="AJ54" s="3" t="str">
        <f t="shared" si="26"/>
        <v>Y</v>
      </c>
      <c r="AK54" s="3" t="str">
        <f t="shared" si="26"/>
        <v>Y</v>
      </c>
      <c r="AL54" s="3" t="str">
        <f t="shared" si="26"/>
        <v>Y</v>
      </c>
      <c r="AM54" s="3" t="str">
        <f t="shared" si="26"/>
        <v>Y</v>
      </c>
    </row>
    <row r="55" ht="15.75" customHeight="1">
      <c r="A55" s="3" t="s">
        <v>150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12">
        <v>0.0</v>
      </c>
      <c r="J55" s="12">
        <f>IF(AND(J54="Y", I58="N"), $B52*Inputs!$B$12/12, 0)</f>
        <v>0</v>
      </c>
      <c r="K55" s="12">
        <f>IF(AND(K54="Y", J58="N"), $B52*Inputs!$B$12/12, 0)</f>
        <v>0</v>
      </c>
      <c r="L55" s="12">
        <f>IF(AND(L54="Y", K58="N"), $B52*Inputs!$B$12/12, 0)</f>
        <v>0</v>
      </c>
      <c r="M55" s="12">
        <f>IF(AND(M54="Y", L58="N"), $B52*Inputs!$B$12/12, 0)</f>
        <v>0</v>
      </c>
      <c r="N55" s="12">
        <f>IF(AND(N54="Y", M58="N"), $B52*Inputs!$B$12/12, 0)</f>
        <v>0</v>
      </c>
      <c r="O55" s="12">
        <f>IF(AND(O54="Y", N58="N"), $B52*Inputs!$B$12/12, 0)</f>
        <v>0</v>
      </c>
      <c r="P55" s="12">
        <f>IF(AND(P54="Y", O58="N"), $B52*Inputs!$B$12/12, 0)</f>
        <v>0</v>
      </c>
      <c r="Q55" s="12">
        <f>IF(AND(Q54="Y", P58="N"), $B52*Inputs!$B$12/12, 0)</f>
        <v>0</v>
      </c>
      <c r="R55" s="12">
        <f>IF(AND(R54="Y", Q58="N"), $B52*Inputs!$B$12/12, 0)</f>
        <v>0</v>
      </c>
      <c r="S55" s="12">
        <f>IF(AND(S54="Y", R58="N"), $B52*Inputs!$B$12/12, 0)</f>
        <v>0</v>
      </c>
      <c r="T55" s="12">
        <f>IF(AND(T54="Y", S58="N"), $B52*Inputs!$B$12/12, 0)</f>
        <v>0</v>
      </c>
      <c r="U55" s="12">
        <f>IF(AND(U54="Y", T58="N"), $B52*Inputs!$B$12/12, 0)</f>
        <v>0</v>
      </c>
      <c r="V55" s="12">
        <f>IF(AND(V54="Y", U58="N"), $B52*Inputs!$B$12/12, 0)</f>
        <v>0</v>
      </c>
      <c r="W55" s="12">
        <f>IF(AND(W54="Y", V58="N"), $B52*Inputs!$B$12/12, 0)</f>
        <v>0</v>
      </c>
      <c r="X55" s="12">
        <f>IF(AND(X54="Y", W58="N"), $B52*Inputs!$B$12/12, 0)</f>
        <v>0</v>
      </c>
      <c r="Y55" s="12">
        <f>IF(AND(Y54="Y", X58="N"), $B52*Inputs!$B$12/12, 0)</f>
        <v>0</v>
      </c>
      <c r="Z55" s="12">
        <f>IF(AND(Z54="Y", Y58="N"), $B52*Inputs!$B$12/12, 0)</f>
        <v>0</v>
      </c>
      <c r="AA55" s="12">
        <f>IF(AND(AA54="Y", Z58="N"), $B52*Inputs!$B$12/12, 0)</f>
        <v>0</v>
      </c>
      <c r="AB55" s="12">
        <f>IF(AND(AB54="Y", AA58="N"), $B52*Inputs!$B$12/12, 0)</f>
        <v>0</v>
      </c>
      <c r="AC55" s="12">
        <f>IF(AND(AC54="Y", AB58="N"), $B52*Inputs!$B$12/12, 0)</f>
        <v>0</v>
      </c>
      <c r="AD55" s="12">
        <f>IF(AND(AD54="Y", AC58="N"), $B52*Inputs!$B$12/12, 0)</f>
        <v>0</v>
      </c>
      <c r="AE55" s="12">
        <f>IF(AND(AE54="Y", AD58="N"), $B52*Inputs!$B$12/12, 0)</f>
        <v>0</v>
      </c>
      <c r="AF55" s="12">
        <f>IF(AND(AF54="Y", AE58="N"), $B52*Inputs!$B$12/12, 0)</f>
        <v>0</v>
      </c>
      <c r="AG55" s="12">
        <f>IF(AND(AG54="Y", AF58="N"), $B52*Inputs!$B$12/12, 0)</f>
        <v>0</v>
      </c>
      <c r="AH55" s="12">
        <f>IF(AND(AH54="Y", AG58="N"), $B52*Inputs!$B$12/12, 0)</f>
        <v>0</v>
      </c>
      <c r="AI55" s="12">
        <f>IF(AND(AI54="Y", AH58="N"), $B52*Inputs!$B$12/12, 0)</f>
        <v>0</v>
      </c>
      <c r="AJ55" s="12">
        <f>IF(AND(AJ54="Y", AI58="N"), $B52*Inputs!$B$12/12, 0)</f>
        <v>0</v>
      </c>
      <c r="AK55" s="12">
        <f>IF(AND(AK54="Y", AJ58="N"), $B52*Inputs!$B$12/12, 0)</f>
        <v>0</v>
      </c>
      <c r="AL55" s="12">
        <f>IF(AND(AL54="Y", AK58="N"), $B52*Inputs!$B$12/12, 0)</f>
        <v>0</v>
      </c>
      <c r="AM55" s="12">
        <f>IF(AND(AM54="Y", AL58="N"), $B52*Inputs!$B$12/12, 0)</f>
        <v>0</v>
      </c>
    </row>
    <row r="56" ht="15.75" customHeight="1">
      <c r="A56" s="3" t="s">
        <v>151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12">
        <f>IF($B52=0, 0, MIN(I53, $C52))</f>
        <v>108997.5752</v>
      </c>
      <c r="J56" s="12">
        <f t="shared" ref="J56:AM56" si="27">IF($B52=0, 0, IF(I58="Y", 0, IF(J54="N", MIN(J53, $C52-I57), MIN(J53*0.5+J55, $C52-I57))))</f>
        <v>51973.77767</v>
      </c>
      <c r="K56" s="12">
        <f t="shared" si="27"/>
        <v>33315.72844</v>
      </c>
      <c r="L56" s="12">
        <f t="shared" si="27"/>
        <v>15712.91864</v>
      </c>
      <c r="M56" s="12">
        <f t="shared" si="27"/>
        <v>0</v>
      </c>
      <c r="N56" s="12">
        <f t="shared" si="27"/>
        <v>0</v>
      </c>
      <c r="O56" s="12">
        <f t="shared" si="27"/>
        <v>0</v>
      </c>
      <c r="P56" s="12">
        <f t="shared" si="27"/>
        <v>0</v>
      </c>
      <c r="Q56" s="12">
        <f t="shared" si="27"/>
        <v>0</v>
      </c>
      <c r="R56" s="12">
        <f t="shared" si="27"/>
        <v>0</v>
      </c>
      <c r="S56" s="12">
        <f t="shared" si="27"/>
        <v>0</v>
      </c>
      <c r="T56" s="12">
        <f t="shared" si="27"/>
        <v>0</v>
      </c>
      <c r="U56" s="12">
        <f t="shared" si="27"/>
        <v>0</v>
      </c>
      <c r="V56" s="12">
        <f t="shared" si="27"/>
        <v>0</v>
      </c>
      <c r="W56" s="12">
        <f t="shared" si="27"/>
        <v>0</v>
      </c>
      <c r="X56" s="12">
        <f t="shared" si="27"/>
        <v>0</v>
      </c>
      <c r="Y56" s="12">
        <f t="shared" si="27"/>
        <v>0</v>
      </c>
      <c r="Z56" s="12">
        <f t="shared" si="27"/>
        <v>0</v>
      </c>
      <c r="AA56" s="12">
        <f t="shared" si="27"/>
        <v>0</v>
      </c>
      <c r="AB56" s="12">
        <f t="shared" si="27"/>
        <v>0</v>
      </c>
      <c r="AC56" s="12">
        <f t="shared" si="27"/>
        <v>0</v>
      </c>
      <c r="AD56" s="12">
        <f t="shared" si="27"/>
        <v>0</v>
      </c>
      <c r="AE56" s="12">
        <f t="shared" si="27"/>
        <v>0</v>
      </c>
      <c r="AF56" s="12">
        <f t="shared" si="27"/>
        <v>0</v>
      </c>
      <c r="AG56" s="12">
        <f t="shared" si="27"/>
        <v>0</v>
      </c>
      <c r="AH56" s="12">
        <f t="shared" si="27"/>
        <v>0</v>
      </c>
      <c r="AI56" s="12">
        <f t="shared" si="27"/>
        <v>0</v>
      </c>
      <c r="AJ56" s="12">
        <f t="shared" si="27"/>
        <v>0</v>
      </c>
      <c r="AK56" s="12">
        <f t="shared" si="27"/>
        <v>0</v>
      </c>
      <c r="AL56" s="12">
        <f t="shared" si="27"/>
        <v>0</v>
      </c>
      <c r="AM56" s="12">
        <f t="shared" si="27"/>
        <v>0</v>
      </c>
    </row>
    <row r="57" ht="15.75" customHeight="1">
      <c r="A57" s="3" t="s">
        <v>152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12">
        <f>I56</f>
        <v>108997.5752</v>
      </c>
      <c r="J57" s="12">
        <f t="shared" ref="J57:AM57" si="28">I57+J56</f>
        <v>160971.3529</v>
      </c>
      <c r="K57" s="12">
        <f t="shared" si="28"/>
        <v>194287.0814</v>
      </c>
      <c r="L57" s="12">
        <f t="shared" si="28"/>
        <v>210000</v>
      </c>
      <c r="M57" s="12">
        <f t="shared" si="28"/>
        <v>210000</v>
      </c>
      <c r="N57" s="12">
        <f t="shared" si="28"/>
        <v>210000</v>
      </c>
      <c r="O57" s="12">
        <f t="shared" si="28"/>
        <v>210000</v>
      </c>
      <c r="P57" s="12">
        <f t="shared" si="28"/>
        <v>210000</v>
      </c>
      <c r="Q57" s="12">
        <f t="shared" si="28"/>
        <v>210000</v>
      </c>
      <c r="R57" s="12">
        <f t="shared" si="28"/>
        <v>210000</v>
      </c>
      <c r="S57" s="12">
        <f t="shared" si="28"/>
        <v>210000</v>
      </c>
      <c r="T57" s="12">
        <f t="shared" si="28"/>
        <v>210000</v>
      </c>
      <c r="U57" s="12">
        <f t="shared" si="28"/>
        <v>210000</v>
      </c>
      <c r="V57" s="12">
        <f t="shared" si="28"/>
        <v>210000</v>
      </c>
      <c r="W57" s="12">
        <f t="shared" si="28"/>
        <v>210000</v>
      </c>
      <c r="X57" s="12">
        <f t="shared" si="28"/>
        <v>210000</v>
      </c>
      <c r="Y57" s="12">
        <f t="shared" si="28"/>
        <v>210000</v>
      </c>
      <c r="Z57" s="12">
        <f t="shared" si="28"/>
        <v>210000</v>
      </c>
      <c r="AA57" s="12">
        <f t="shared" si="28"/>
        <v>210000</v>
      </c>
      <c r="AB57" s="12">
        <f t="shared" si="28"/>
        <v>210000</v>
      </c>
      <c r="AC57" s="12">
        <f t="shared" si="28"/>
        <v>210000</v>
      </c>
      <c r="AD57" s="12">
        <f t="shared" si="28"/>
        <v>210000</v>
      </c>
      <c r="AE57" s="12">
        <f t="shared" si="28"/>
        <v>210000</v>
      </c>
      <c r="AF57" s="12">
        <f t="shared" si="28"/>
        <v>210000</v>
      </c>
      <c r="AG57" s="12">
        <f t="shared" si="28"/>
        <v>210000</v>
      </c>
      <c r="AH57" s="12">
        <f t="shared" si="28"/>
        <v>210000</v>
      </c>
      <c r="AI57" s="12">
        <f t="shared" si="28"/>
        <v>210000</v>
      </c>
      <c r="AJ57" s="12">
        <f t="shared" si="28"/>
        <v>210000</v>
      </c>
      <c r="AK57" s="12">
        <f t="shared" si="28"/>
        <v>210000</v>
      </c>
      <c r="AL57" s="12">
        <f t="shared" si="28"/>
        <v>210000</v>
      </c>
      <c r="AM57" s="12">
        <f t="shared" si="28"/>
        <v>210000</v>
      </c>
    </row>
    <row r="58" ht="15.75" customHeight="1">
      <c r="A58" s="3" t="s">
        <v>153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 t="str">
        <f t="shared" ref="I58:AM58" si="29">IF(I57&gt;=$C52, "Y", "N")</f>
        <v>N</v>
      </c>
      <c r="J58" s="3" t="str">
        <f t="shared" si="29"/>
        <v>N</v>
      </c>
      <c r="K58" s="3" t="str">
        <f t="shared" si="29"/>
        <v>N</v>
      </c>
      <c r="L58" s="3" t="str">
        <f t="shared" si="29"/>
        <v>Y</v>
      </c>
      <c r="M58" s="3" t="str">
        <f t="shared" si="29"/>
        <v>Y</v>
      </c>
      <c r="N58" s="3" t="str">
        <f t="shared" si="29"/>
        <v>Y</v>
      </c>
      <c r="O58" s="3" t="str">
        <f t="shared" si="29"/>
        <v>Y</v>
      </c>
      <c r="P58" s="3" t="str">
        <f t="shared" si="29"/>
        <v>Y</v>
      </c>
      <c r="Q58" s="3" t="str">
        <f t="shared" si="29"/>
        <v>Y</v>
      </c>
      <c r="R58" s="3" t="str">
        <f t="shared" si="29"/>
        <v>Y</v>
      </c>
      <c r="S58" s="3" t="str">
        <f t="shared" si="29"/>
        <v>Y</v>
      </c>
      <c r="T58" s="3" t="str">
        <f t="shared" si="29"/>
        <v>Y</v>
      </c>
      <c r="U58" s="3" t="str">
        <f t="shared" si="29"/>
        <v>Y</v>
      </c>
      <c r="V58" s="3" t="str">
        <f t="shared" si="29"/>
        <v>Y</v>
      </c>
      <c r="W58" s="3" t="str">
        <f t="shared" si="29"/>
        <v>Y</v>
      </c>
      <c r="X58" s="3" t="str">
        <f t="shared" si="29"/>
        <v>Y</v>
      </c>
      <c r="Y58" s="3" t="str">
        <f t="shared" si="29"/>
        <v>Y</v>
      </c>
      <c r="Z58" s="3" t="str">
        <f t="shared" si="29"/>
        <v>Y</v>
      </c>
      <c r="AA58" s="3" t="str">
        <f t="shared" si="29"/>
        <v>Y</v>
      </c>
      <c r="AB58" s="3" t="str">
        <f t="shared" si="29"/>
        <v>Y</v>
      </c>
      <c r="AC58" s="3" t="str">
        <f t="shared" si="29"/>
        <v>Y</v>
      </c>
      <c r="AD58" s="3" t="str">
        <f t="shared" si="29"/>
        <v>Y</v>
      </c>
      <c r="AE58" s="3" t="str">
        <f t="shared" si="29"/>
        <v>Y</v>
      </c>
      <c r="AF58" s="3" t="str">
        <f t="shared" si="29"/>
        <v>Y</v>
      </c>
      <c r="AG58" s="3" t="str">
        <f t="shared" si="29"/>
        <v>Y</v>
      </c>
      <c r="AH58" s="3" t="str">
        <f t="shared" si="29"/>
        <v>Y</v>
      </c>
      <c r="AI58" s="3" t="str">
        <f t="shared" si="29"/>
        <v>Y</v>
      </c>
      <c r="AJ58" s="3" t="str">
        <f t="shared" si="29"/>
        <v>Y</v>
      </c>
      <c r="AK58" s="3" t="str">
        <f t="shared" si="29"/>
        <v>Y</v>
      </c>
      <c r="AL58" s="3" t="str">
        <f t="shared" si="29"/>
        <v>Y</v>
      </c>
      <c r="AM58" s="3" t="str">
        <f t="shared" si="29"/>
        <v>Y</v>
      </c>
    </row>
    <row r="59" ht="15.75" customHeight="1">
      <c r="A59" s="3" t="s">
        <v>154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12">
        <f t="shared" ref="I59:AM59" si="30">I53-I56</f>
        <v>0</v>
      </c>
      <c r="J59" s="12">
        <f t="shared" si="30"/>
        <v>0</v>
      </c>
      <c r="K59" s="12">
        <f t="shared" si="30"/>
        <v>0</v>
      </c>
      <c r="L59" s="12">
        <f t="shared" si="30"/>
        <v>7726.693959</v>
      </c>
      <c r="M59" s="12">
        <f t="shared" si="30"/>
        <v>13935.54857</v>
      </c>
      <c r="N59" s="12">
        <f t="shared" si="30"/>
        <v>12492.18326</v>
      </c>
      <c r="O59" s="12">
        <f t="shared" si="30"/>
        <v>10788.80543</v>
      </c>
      <c r="P59" s="12">
        <f t="shared" si="30"/>
        <v>9532.512068</v>
      </c>
      <c r="Q59" s="12">
        <f t="shared" si="30"/>
        <v>8521.683427</v>
      </c>
      <c r="R59" s="12">
        <f t="shared" si="30"/>
        <v>9902.573288</v>
      </c>
      <c r="S59" s="12">
        <f t="shared" si="30"/>
        <v>6900</v>
      </c>
      <c r="T59" s="12">
        <f t="shared" si="30"/>
        <v>6900</v>
      </c>
      <c r="U59" s="12">
        <f t="shared" si="30"/>
        <v>6900</v>
      </c>
      <c r="V59" s="12">
        <f t="shared" si="30"/>
        <v>1725</v>
      </c>
      <c r="W59" s="12">
        <f t="shared" si="30"/>
        <v>1725</v>
      </c>
      <c r="X59" s="12">
        <f t="shared" si="30"/>
        <v>1725</v>
      </c>
      <c r="Y59" s="12">
        <f t="shared" si="30"/>
        <v>1725</v>
      </c>
      <c r="Z59" s="12">
        <f t="shared" si="30"/>
        <v>1725</v>
      </c>
      <c r="AA59" s="12">
        <f t="shared" si="30"/>
        <v>1725</v>
      </c>
      <c r="AB59" s="12">
        <f t="shared" si="30"/>
        <v>1725</v>
      </c>
      <c r="AC59" s="12">
        <f t="shared" si="30"/>
        <v>1725</v>
      </c>
      <c r="AD59" s="12">
        <f t="shared" si="30"/>
        <v>1725</v>
      </c>
      <c r="AE59" s="12">
        <f t="shared" si="30"/>
        <v>1725</v>
      </c>
      <c r="AF59" s="12">
        <f t="shared" si="30"/>
        <v>1725</v>
      </c>
      <c r="AG59" s="12">
        <f t="shared" si="30"/>
        <v>1725</v>
      </c>
      <c r="AH59" s="12">
        <f t="shared" si="30"/>
        <v>1725</v>
      </c>
      <c r="AI59" s="12">
        <f t="shared" si="30"/>
        <v>1725</v>
      </c>
      <c r="AJ59" s="12">
        <f t="shared" si="30"/>
        <v>1725</v>
      </c>
      <c r="AK59" s="12">
        <f t="shared" si="30"/>
        <v>1725</v>
      </c>
      <c r="AL59" s="12">
        <f t="shared" si="30"/>
        <v>1725</v>
      </c>
      <c r="AM59" s="12">
        <f t="shared" si="30"/>
        <v>1725</v>
      </c>
    </row>
    <row r="60" ht="15.75" customHeight="1"/>
    <row r="61" ht="15.75" customHeight="1">
      <c r="A61" s="2" t="str">
        <f>Acquisition_Plan!A10</f>
        <v>2026-07-31</v>
      </c>
      <c r="B61" s="12">
        <f>Acquisition_Plan!E10</f>
        <v>250000</v>
      </c>
      <c r="C61" s="12">
        <f>B61*(1+Inputs!$B$12)</f>
        <v>262500</v>
      </c>
    </row>
    <row r="62" ht="15.75" customHeight="1">
      <c r="A62" s="3" t="s">
        <v>147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12">
        <f>$B61*Inputs!$B$15*Curves!C5*(1-Inputs!$B$16)</f>
        <v>136246.9691</v>
      </c>
      <c r="K62" s="12">
        <f>$B61*Inputs!$B$15*Curves!C6*(1-Inputs!$B$16)</f>
        <v>64967.22209</v>
      </c>
      <c r="L62" s="12">
        <f>$B61*Inputs!$B$15*Curves!C7*(1-Inputs!$B$16)</f>
        <v>41644.66055</v>
      </c>
      <c r="M62" s="12">
        <f>$B61*Inputs!$B$15*Curves!C8*(1-Inputs!$B$16)</f>
        <v>29299.51575</v>
      </c>
      <c r="N62" s="12">
        <f>$B61*Inputs!$B$15*Curves!C9*(1-Inputs!$B$16)</f>
        <v>17419.43571</v>
      </c>
      <c r="O62" s="12">
        <f>$B61*Inputs!$B$15*Curves!C10*(1-Inputs!$B$16)</f>
        <v>15615.22907</v>
      </c>
      <c r="P62" s="12">
        <f>$B61*Inputs!$B$15*Curves!C11*(1-Inputs!$B$16)</f>
        <v>13486.00679</v>
      </c>
      <c r="Q62" s="12">
        <f>$B61*Inputs!$B$15*Curves!C12*(1-Inputs!$B$16)</f>
        <v>11915.64009</v>
      </c>
      <c r="R62" s="12">
        <f>$B61*Inputs!$B$15*Curves!C13*(1-Inputs!$B$16)</f>
        <v>10652.10428</v>
      </c>
      <c r="S62" s="12">
        <f>$B61*Inputs!$B$15*Curves!C14*(1-Inputs!$B$16)</f>
        <v>12378.21661</v>
      </c>
      <c r="T62" s="12">
        <f>$B61*Inputs!$B$15*Curves!C15*(1-Inputs!$B$16)</f>
        <v>8625</v>
      </c>
      <c r="U62" s="12">
        <f>$B61*Inputs!$B$15*Curves!C16*(1-Inputs!$B$16)</f>
        <v>8625</v>
      </c>
      <c r="V62" s="12">
        <f>$B61*Inputs!$B$15*Curves!C17*(1-Inputs!$B$16)</f>
        <v>8625</v>
      </c>
      <c r="W62" s="12">
        <f>$B61*Inputs!$B$15*Curves!C18*(1-Inputs!$B$16)</f>
        <v>2156.25</v>
      </c>
      <c r="X62" s="12">
        <f>$B61*Inputs!$B$15*Curves!C19*(1-Inputs!$B$16)</f>
        <v>2156.25</v>
      </c>
      <c r="Y62" s="12">
        <f>$B61*Inputs!$B$15*Curves!C20*(1-Inputs!$B$16)</f>
        <v>2156.25</v>
      </c>
      <c r="Z62" s="12">
        <f>$B61*Inputs!$B$15*Curves!C21*(1-Inputs!$B$16)</f>
        <v>2156.25</v>
      </c>
      <c r="AA62" s="12">
        <f>$B61*Inputs!$B$15*Curves!C22*(1-Inputs!$B$16)</f>
        <v>2156.25</v>
      </c>
      <c r="AB62" s="12">
        <f>$B61*Inputs!$B$15*Curves!C23*(1-Inputs!$B$16)</f>
        <v>2156.25</v>
      </c>
      <c r="AC62" s="12">
        <f>$B61*Inputs!$B$15*Curves!C24*(1-Inputs!$B$16)</f>
        <v>2156.25</v>
      </c>
      <c r="AD62" s="12">
        <f>$B61*Inputs!$B$15*Curves!C25*(1-Inputs!$B$16)</f>
        <v>2156.25</v>
      </c>
      <c r="AE62" s="12">
        <f>$B61*Inputs!$B$15*Curves!C26*(1-Inputs!$B$16)</f>
        <v>2156.25</v>
      </c>
      <c r="AF62" s="12">
        <f>$B61*Inputs!$B$15*Curves!C27*(1-Inputs!$B$16)</f>
        <v>2156.25</v>
      </c>
      <c r="AG62" s="12">
        <f>$B61*Inputs!$B$15*Curves!C28*(1-Inputs!$B$16)</f>
        <v>2156.25</v>
      </c>
      <c r="AH62" s="12">
        <f>$B61*Inputs!$B$15*Curves!C29*(1-Inputs!$B$16)</f>
        <v>2156.25</v>
      </c>
      <c r="AI62" s="12">
        <f>$B61*Inputs!$B$15*Curves!C30*(1-Inputs!$B$16)</f>
        <v>2156.25</v>
      </c>
      <c r="AJ62" s="12">
        <f>$B61*Inputs!$B$15*Curves!C31*(1-Inputs!$B$16)</f>
        <v>2156.25</v>
      </c>
      <c r="AK62" s="12">
        <f>$B61*Inputs!$B$15*Curves!C32*(1-Inputs!$B$16)</f>
        <v>2156.25</v>
      </c>
      <c r="AL62" s="12">
        <f>$B61*Inputs!$B$15*Curves!C33*(1-Inputs!$B$16)</f>
        <v>2156.25</v>
      </c>
      <c r="AM62" s="12">
        <f>$B61*Inputs!$B$15*Curves!C34*(1-Inputs!$B$16)</f>
        <v>2156.25</v>
      </c>
    </row>
    <row r="63" ht="15.75" customHeight="1">
      <c r="A63" s="3" t="s">
        <v>148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 t="s">
        <v>149</v>
      </c>
      <c r="K63" s="3" t="str">
        <f t="shared" ref="K63:AM63" si="31">IF($B61=0, "N", IF(J66&gt;=$B61, "Y", "N"))</f>
        <v>N</v>
      </c>
      <c r="L63" s="3" t="str">
        <f t="shared" si="31"/>
        <v>N</v>
      </c>
      <c r="M63" s="3" t="str">
        <f t="shared" si="31"/>
        <v>N</v>
      </c>
      <c r="N63" s="3" t="str">
        <f t="shared" si="31"/>
        <v>Y</v>
      </c>
      <c r="O63" s="3" t="str">
        <f t="shared" si="31"/>
        <v>Y</v>
      </c>
      <c r="P63" s="3" t="str">
        <f t="shared" si="31"/>
        <v>Y</v>
      </c>
      <c r="Q63" s="3" t="str">
        <f t="shared" si="31"/>
        <v>Y</v>
      </c>
      <c r="R63" s="3" t="str">
        <f t="shared" si="31"/>
        <v>Y</v>
      </c>
      <c r="S63" s="3" t="str">
        <f t="shared" si="31"/>
        <v>Y</v>
      </c>
      <c r="T63" s="3" t="str">
        <f t="shared" si="31"/>
        <v>Y</v>
      </c>
      <c r="U63" s="3" t="str">
        <f t="shared" si="31"/>
        <v>Y</v>
      </c>
      <c r="V63" s="3" t="str">
        <f t="shared" si="31"/>
        <v>Y</v>
      </c>
      <c r="W63" s="3" t="str">
        <f t="shared" si="31"/>
        <v>Y</v>
      </c>
      <c r="X63" s="3" t="str">
        <f t="shared" si="31"/>
        <v>Y</v>
      </c>
      <c r="Y63" s="3" t="str">
        <f t="shared" si="31"/>
        <v>Y</v>
      </c>
      <c r="Z63" s="3" t="str">
        <f t="shared" si="31"/>
        <v>Y</v>
      </c>
      <c r="AA63" s="3" t="str">
        <f t="shared" si="31"/>
        <v>Y</v>
      </c>
      <c r="AB63" s="3" t="str">
        <f t="shared" si="31"/>
        <v>Y</v>
      </c>
      <c r="AC63" s="3" t="str">
        <f t="shared" si="31"/>
        <v>Y</v>
      </c>
      <c r="AD63" s="3" t="str">
        <f t="shared" si="31"/>
        <v>Y</v>
      </c>
      <c r="AE63" s="3" t="str">
        <f t="shared" si="31"/>
        <v>Y</v>
      </c>
      <c r="AF63" s="3" t="str">
        <f t="shared" si="31"/>
        <v>Y</v>
      </c>
      <c r="AG63" s="3" t="str">
        <f t="shared" si="31"/>
        <v>Y</v>
      </c>
      <c r="AH63" s="3" t="str">
        <f t="shared" si="31"/>
        <v>Y</v>
      </c>
      <c r="AI63" s="3" t="str">
        <f t="shared" si="31"/>
        <v>Y</v>
      </c>
      <c r="AJ63" s="3" t="str">
        <f t="shared" si="31"/>
        <v>Y</v>
      </c>
      <c r="AK63" s="3" t="str">
        <f t="shared" si="31"/>
        <v>Y</v>
      </c>
      <c r="AL63" s="3" t="str">
        <f t="shared" si="31"/>
        <v>Y</v>
      </c>
      <c r="AM63" s="3" t="str">
        <f t="shared" si="31"/>
        <v>Y</v>
      </c>
    </row>
    <row r="64" ht="15.75" customHeight="1">
      <c r="A64" s="3" t="s">
        <v>150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12">
        <v>0.0</v>
      </c>
      <c r="K64" s="12">
        <f>IF(AND(K63="Y", J67="N"), $B61*Inputs!$B$12/12, 0)</f>
        <v>0</v>
      </c>
      <c r="L64" s="12">
        <f>IF(AND(L63="Y", K67="N"), $B61*Inputs!$B$12/12, 0)</f>
        <v>0</v>
      </c>
      <c r="M64" s="12">
        <f>IF(AND(M63="Y", L67="N"), $B61*Inputs!$B$12/12, 0)</f>
        <v>0</v>
      </c>
      <c r="N64" s="12">
        <f>IF(AND(N63="Y", M67="N"), $B61*Inputs!$B$12/12, 0)</f>
        <v>0</v>
      </c>
      <c r="O64" s="12">
        <f>IF(AND(O63="Y", N67="N"), $B61*Inputs!$B$12/12, 0)</f>
        <v>0</v>
      </c>
      <c r="P64" s="12">
        <f>IF(AND(P63="Y", O67="N"), $B61*Inputs!$B$12/12, 0)</f>
        <v>0</v>
      </c>
      <c r="Q64" s="12">
        <f>IF(AND(Q63="Y", P67="N"), $B61*Inputs!$B$12/12, 0)</f>
        <v>0</v>
      </c>
      <c r="R64" s="12">
        <f>IF(AND(R63="Y", Q67="N"), $B61*Inputs!$B$12/12, 0)</f>
        <v>0</v>
      </c>
      <c r="S64" s="12">
        <f>IF(AND(S63="Y", R67="N"), $B61*Inputs!$B$12/12, 0)</f>
        <v>0</v>
      </c>
      <c r="T64" s="12">
        <f>IF(AND(T63="Y", S67="N"), $B61*Inputs!$B$12/12, 0)</f>
        <v>0</v>
      </c>
      <c r="U64" s="12">
        <f>IF(AND(U63="Y", T67="N"), $B61*Inputs!$B$12/12, 0)</f>
        <v>0</v>
      </c>
      <c r="V64" s="12">
        <f>IF(AND(V63="Y", U67="N"), $B61*Inputs!$B$12/12, 0)</f>
        <v>0</v>
      </c>
      <c r="W64" s="12">
        <f>IF(AND(W63="Y", V67="N"), $B61*Inputs!$B$12/12, 0)</f>
        <v>0</v>
      </c>
      <c r="X64" s="12">
        <f>IF(AND(X63="Y", W67="N"), $B61*Inputs!$B$12/12, 0)</f>
        <v>0</v>
      </c>
      <c r="Y64" s="12">
        <f>IF(AND(Y63="Y", X67="N"), $B61*Inputs!$B$12/12, 0)</f>
        <v>0</v>
      </c>
      <c r="Z64" s="12">
        <f>IF(AND(Z63="Y", Y67="N"), $B61*Inputs!$B$12/12, 0)</f>
        <v>0</v>
      </c>
      <c r="AA64" s="12">
        <f>IF(AND(AA63="Y", Z67="N"), $B61*Inputs!$B$12/12, 0)</f>
        <v>0</v>
      </c>
      <c r="AB64" s="12">
        <f>IF(AND(AB63="Y", AA67="N"), $B61*Inputs!$B$12/12, 0)</f>
        <v>0</v>
      </c>
      <c r="AC64" s="12">
        <f>IF(AND(AC63="Y", AB67="N"), $B61*Inputs!$B$12/12, 0)</f>
        <v>0</v>
      </c>
      <c r="AD64" s="12">
        <f>IF(AND(AD63="Y", AC67="N"), $B61*Inputs!$B$12/12, 0)</f>
        <v>0</v>
      </c>
      <c r="AE64" s="12">
        <f>IF(AND(AE63="Y", AD67="N"), $B61*Inputs!$B$12/12, 0)</f>
        <v>0</v>
      </c>
      <c r="AF64" s="12">
        <f>IF(AND(AF63="Y", AE67="N"), $B61*Inputs!$B$12/12, 0)</f>
        <v>0</v>
      </c>
      <c r="AG64" s="12">
        <f>IF(AND(AG63="Y", AF67="N"), $B61*Inputs!$B$12/12, 0)</f>
        <v>0</v>
      </c>
      <c r="AH64" s="12">
        <f>IF(AND(AH63="Y", AG67="N"), $B61*Inputs!$B$12/12, 0)</f>
        <v>0</v>
      </c>
      <c r="AI64" s="12">
        <f>IF(AND(AI63="Y", AH67="N"), $B61*Inputs!$B$12/12, 0)</f>
        <v>0</v>
      </c>
      <c r="AJ64" s="12">
        <f>IF(AND(AJ63="Y", AI67="N"), $B61*Inputs!$B$12/12, 0)</f>
        <v>0</v>
      </c>
      <c r="AK64" s="12">
        <f>IF(AND(AK63="Y", AJ67="N"), $B61*Inputs!$B$12/12, 0)</f>
        <v>0</v>
      </c>
      <c r="AL64" s="12">
        <f>IF(AND(AL63="Y", AK67="N"), $B61*Inputs!$B$12/12, 0)</f>
        <v>0</v>
      </c>
      <c r="AM64" s="12">
        <f>IF(AND(AM63="Y", AL67="N"), $B61*Inputs!$B$12/12, 0)</f>
        <v>0</v>
      </c>
    </row>
    <row r="65" ht="15.75" customHeight="1">
      <c r="A65" s="3" t="s">
        <v>151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12">
        <f>IF($B61=0, 0, MIN(J62, $C61))</f>
        <v>136246.9691</v>
      </c>
      <c r="K65" s="12">
        <f t="shared" ref="K65:AM65" si="32">IF($B61=0, 0, IF(J67="Y", 0, IF(K63="N", MIN(K62, $C61-J66), MIN(K62*0.5+K64, $C61-J66))))</f>
        <v>64967.22209</v>
      </c>
      <c r="L65" s="12">
        <f t="shared" si="32"/>
        <v>41644.66055</v>
      </c>
      <c r="M65" s="12">
        <f t="shared" si="32"/>
        <v>19641.14831</v>
      </c>
      <c r="N65" s="12">
        <f t="shared" si="32"/>
        <v>0</v>
      </c>
      <c r="O65" s="12">
        <f t="shared" si="32"/>
        <v>0</v>
      </c>
      <c r="P65" s="12">
        <f t="shared" si="32"/>
        <v>0</v>
      </c>
      <c r="Q65" s="12">
        <f t="shared" si="32"/>
        <v>0</v>
      </c>
      <c r="R65" s="12">
        <f t="shared" si="32"/>
        <v>0</v>
      </c>
      <c r="S65" s="12">
        <f t="shared" si="32"/>
        <v>0</v>
      </c>
      <c r="T65" s="12">
        <f t="shared" si="32"/>
        <v>0</v>
      </c>
      <c r="U65" s="12">
        <f t="shared" si="32"/>
        <v>0</v>
      </c>
      <c r="V65" s="12">
        <f t="shared" si="32"/>
        <v>0</v>
      </c>
      <c r="W65" s="12">
        <f t="shared" si="32"/>
        <v>0</v>
      </c>
      <c r="X65" s="12">
        <f t="shared" si="32"/>
        <v>0</v>
      </c>
      <c r="Y65" s="12">
        <f t="shared" si="32"/>
        <v>0</v>
      </c>
      <c r="Z65" s="12">
        <f t="shared" si="32"/>
        <v>0</v>
      </c>
      <c r="AA65" s="12">
        <f t="shared" si="32"/>
        <v>0</v>
      </c>
      <c r="AB65" s="12">
        <f t="shared" si="32"/>
        <v>0</v>
      </c>
      <c r="AC65" s="12">
        <f t="shared" si="32"/>
        <v>0</v>
      </c>
      <c r="AD65" s="12">
        <f t="shared" si="32"/>
        <v>0</v>
      </c>
      <c r="AE65" s="12">
        <f t="shared" si="32"/>
        <v>0</v>
      </c>
      <c r="AF65" s="12">
        <f t="shared" si="32"/>
        <v>0</v>
      </c>
      <c r="AG65" s="12">
        <f t="shared" si="32"/>
        <v>0</v>
      </c>
      <c r="AH65" s="12">
        <f t="shared" si="32"/>
        <v>0</v>
      </c>
      <c r="AI65" s="12">
        <f t="shared" si="32"/>
        <v>0</v>
      </c>
      <c r="AJ65" s="12">
        <f t="shared" si="32"/>
        <v>0</v>
      </c>
      <c r="AK65" s="12">
        <f t="shared" si="32"/>
        <v>0</v>
      </c>
      <c r="AL65" s="12">
        <f t="shared" si="32"/>
        <v>0</v>
      </c>
      <c r="AM65" s="12">
        <f t="shared" si="32"/>
        <v>0</v>
      </c>
    </row>
    <row r="66" ht="15.75" customHeight="1">
      <c r="A66" s="3" t="s">
        <v>152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12">
        <f>J65</f>
        <v>136246.9691</v>
      </c>
      <c r="K66" s="12">
        <f t="shared" ref="K66:AM66" si="33">J66+K65</f>
        <v>201214.1911</v>
      </c>
      <c r="L66" s="12">
        <f t="shared" si="33"/>
        <v>242858.8517</v>
      </c>
      <c r="M66" s="12">
        <f t="shared" si="33"/>
        <v>262500</v>
      </c>
      <c r="N66" s="12">
        <f t="shared" si="33"/>
        <v>262500</v>
      </c>
      <c r="O66" s="12">
        <f t="shared" si="33"/>
        <v>262500</v>
      </c>
      <c r="P66" s="12">
        <f t="shared" si="33"/>
        <v>262500</v>
      </c>
      <c r="Q66" s="12">
        <f t="shared" si="33"/>
        <v>262500</v>
      </c>
      <c r="R66" s="12">
        <f t="shared" si="33"/>
        <v>262500</v>
      </c>
      <c r="S66" s="12">
        <f t="shared" si="33"/>
        <v>262500</v>
      </c>
      <c r="T66" s="12">
        <f t="shared" si="33"/>
        <v>262500</v>
      </c>
      <c r="U66" s="12">
        <f t="shared" si="33"/>
        <v>262500</v>
      </c>
      <c r="V66" s="12">
        <f t="shared" si="33"/>
        <v>262500</v>
      </c>
      <c r="W66" s="12">
        <f t="shared" si="33"/>
        <v>262500</v>
      </c>
      <c r="X66" s="12">
        <f t="shared" si="33"/>
        <v>262500</v>
      </c>
      <c r="Y66" s="12">
        <f t="shared" si="33"/>
        <v>262500</v>
      </c>
      <c r="Z66" s="12">
        <f t="shared" si="33"/>
        <v>262500</v>
      </c>
      <c r="AA66" s="12">
        <f t="shared" si="33"/>
        <v>262500</v>
      </c>
      <c r="AB66" s="12">
        <f t="shared" si="33"/>
        <v>262500</v>
      </c>
      <c r="AC66" s="12">
        <f t="shared" si="33"/>
        <v>262500</v>
      </c>
      <c r="AD66" s="12">
        <f t="shared" si="33"/>
        <v>262500</v>
      </c>
      <c r="AE66" s="12">
        <f t="shared" si="33"/>
        <v>262500</v>
      </c>
      <c r="AF66" s="12">
        <f t="shared" si="33"/>
        <v>262500</v>
      </c>
      <c r="AG66" s="12">
        <f t="shared" si="33"/>
        <v>262500</v>
      </c>
      <c r="AH66" s="12">
        <f t="shared" si="33"/>
        <v>262500</v>
      </c>
      <c r="AI66" s="12">
        <f t="shared" si="33"/>
        <v>262500</v>
      </c>
      <c r="AJ66" s="12">
        <f t="shared" si="33"/>
        <v>262500</v>
      </c>
      <c r="AK66" s="12">
        <f t="shared" si="33"/>
        <v>262500</v>
      </c>
      <c r="AL66" s="12">
        <f t="shared" si="33"/>
        <v>262500</v>
      </c>
      <c r="AM66" s="12">
        <f t="shared" si="33"/>
        <v>262500</v>
      </c>
    </row>
    <row r="67" ht="15.75" customHeight="1">
      <c r="A67" s="3" t="s">
        <v>153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 t="str">
        <f t="shared" ref="J67:AM67" si="34">IF(J66&gt;=$C61, "Y", "N")</f>
        <v>N</v>
      </c>
      <c r="K67" s="3" t="str">
        <f t="shared" si="34"/>
        <v>N</v>
      </c>
      <c r="L67" s="3" t="str">
        <f t="shared" si="34"/>
        <v>N</v>
      </c>
      <c r="M67" s="3" t="str">
        <f t="shared" si="34"/>
        <v>Y</v>
      </c>
      <c r="N67" s="3" t="str">
        <f t="shared" si="34"/>
        <v>Y</v>
      </c>
      <c r="O67" s="3" t="str">
        <f t="shared" si="34"/>
        <v>Y</v>
      </c>
      <c r="P67" s="3" t="str">
        <f t="shared" si="34"/>
        <v>Y</v>
      </c>
      <c r="Q67" s="3" t="str">
        <f t="shared" si="34"/>
        <v>Y</v>
      </c>
      <c r="R67" s="3" t="str">
        <f t="shared" si="34"/>
        <v>Y</v>
      </c>
      <c r="S67" s="3" t="str">
        <f t="shared" si="34"/>
        <v>Y</v>
      </c>
      <c r="T67" s="3" t="str">
        <f t="shared" si="34"/>
        <v>Y</v>
      </c>
      <c r="U67" s="3" t="str">
        <f t="shared" si="34"/>
        <v>Y</v>
      </c>
      <c r="V67" s="3" t="str">
        <f t="shared" si="34"/>
        <v>Y</v>
      </c>
      <c r="W67" s="3" t="str">
        <f t="shared" si="34"/>
        <v>Y</v>
      </c>
      <c r="X67" s="3" t="str">
        <f t="shared" si="34"/>
        <v>Y</v>
      </c>
      <c r="Y67" s="3" t="str">
        <f t="shared" si="34"/>
        <v>Y</v>
      </c>
      <c r="Z67" s="3" t="str">
        <f t="shared" si="34"/>
        <v>Y</v>
      </c>
      <c r="AA67" s="3" t="str">
        <f t="shared" si="34"/>
        <v>Y</v>
      </c>
      <c r="AB67" s="3" t="str">
        <f t="shared" si="34"/>
        <v>Y</v>
      </c>
      <c r="AC67" s="3" t="str">
        <f t="shared" si="34"/>
        <v>Y</v>
      </c>
      <c r="AD67" s="3" t="str">
        <f t="shared" si="34"/>
        <v>Y</v>
      </c>
      <c r="AE67" s="3" t="str">
        <f t="shared" si="34"/>
        <v>Y</v>
      </c>
      <c r="AF67" s="3" t="str">
        <f t="shared" si="34"/>
        <v>Y</v>
      </c>
      <c r="AG67" s="3" t="str">
        <f t="shared" si="34"/>
        <v>Y</v>
      </c>
      <c r="AH67" s="3" t="str">
        <f t="shared" si="34"/>
        <v>Y</v>
      </c>
      <c r="AI67" s="3" t="str">
        <f t="shared" si="34"/>
        <v>Y</v>
      </c>
      <c r="AJ67" s="3" t="str">
        <f t="shared" si="34"/>
        <v>Y</v>
      </c>
      <c r="AK67" s="3" t="str">
        <f t="shared" si="34"/>
        <v>Y</v>
      </c>
      <c r="AL67" s="3" t="str">
        <f t="shared" si="34"/>
        <v>Y</v>
      </c>
      <c r="AM67" s="3" t="str">
        <f t="shared" si="34"/>
        <v>Y</v>
      </c>
    </row>
    <row r="68" ht="15.75" customHeight="1">
      <c r="A68" s="3" t="s">
        <v>154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12">
        <f t="shared" ref="J68:AM68" si="35">J62-J65</f>
        <v>0</v>
      </c>
      <c r="K68" s="12">
        <f t="shared" si="35"/>
        <v>0</v>
      </c>
      <c r="L68" s="12">
        <f t="shared" si="35"/>
        <v>0</v>
      </c>
      <c r="M68" s="12">
        <f t="shared" si="35"/>
        <v>9658.367449</v>
      </c>
      <c r="N68" s="12">
        <f t="shared" si="35"/>
        <v>17419.43571</v>
      </c>
      <c r="O68" s="12">
        <f t="shared" si="35"/>
        <v>15615.22907</v>
      </c>
      <c r="P68" s="12">
        <f t="shared" si="35"/>
        <v>13486.00679</v>
      </c>
      <c r="Q68" s="12">
        <f t="shared" si="35"/>
        <v>11915.64009</v>
      </c>
      <c r="R68" s="12">
        <f t="shared" si="35"/>
        <v>10652.10428</v>
      </c>
      <c r="S68" s="12">
        <f t="shared" si="35"/>
        <v>12378.21661</v>
      </c>
      <c r="T68" s="12">
        <f t="shared" si="35"/>
        <v>8625</v>
      </c>
      <c r="U68" s="12">
        <f t="shared" si="35"/>
        <v>8625</v>
      </c>
      <c r="V68" s="12">
        <f t="shared" si="35"/>
        <v>8625</v>
      </c>
      <c r="W68" s="12">
        <f t="shared" si="35"/>
        <v>2156.25</v>
      </c>
      <c r="X68" s="12">
        <f t="shared" si="35"/>
        <v>2156.25</v>
      </c>
      <c r="Y68" s="12">
        <f t="shared" si="35"/>
        <v>2156.25</v>
      </c>
      <c r="Z68" s="12">
        <f t="shared" si="35"/>
        <v>2156.25</v>
      </c>
      <c r="AA68" s="12">
        <f t="shared" si="35"/>
        <v>2156.25</v>
      </c>
      <c r="AB68" s="12">
        <f t="shared" si="35"/>
        <v>2156.25</v>
      </c>
      <c r="AC68" s="12">
        <f t="shared" si="35"/>
        <v>2156.25</v>
      </c>
      <c r="AD68" s="12">
        <f t="shared" si="35"/>
        <v>2156.25</v>
      </c>
      <c r="AE68" s="12">
        <f t="shared" si="35"/>
        <v>2156.25</v>
      </c>
      <c r="AF68" s="12">
        <f t="shared" si="35"/>
        <v>2156.25</v>
      </c>
      <c r="AG68" s="12">
        <f t="shared" si="35"/>
        <v>2156.25</v>
      </c>
      <c r="AH68" s="12">
        <f t="shared" si="35"/>
        <v>2156.25</v>
      </c>
      <c r="AI68" s="12">
        <f t="shared" si="35"/>
        <v>2156.25</v>
      </c>
      <c r="AJ68" s="12">
        <f t="shared" si="35"/>
        <v>2156.25</v>
      </c>
      <c r="AK68" s="12">
        <f t="shared" si="35"/>
        <v>2156.25</v>
      </c>
      <c r="AL68" s="12">
        <f t="shared" si="35"/>
        <v>2156.25</v>
      </c>
      <c r="AM68" s="12">
        <f t="shared" si="35"/>
        <v>2156.25</v>
      </c>
    </row>
    <row r="69" ht="15.75" customHeight="1"/>
    <row r="70" ht="15.75" customHeight="1">
      <c r="A70" s="2" t="str">
        <f>Acquisition_Plan!A11</f>
        <v>2026-08-30</v>
      </c>
      <c r="B70" s="12">
        <f>Acquisition_Plan!E11</f>
        <v>250000</v>
      </c>
      <c r="C70" s="12">
        <f>B70*(1+Inputs!$B$12)</f>
        <v>262500</v>
      </c>
    </row>
    <row r="71" ht="15.75" customHeight="1">
      <c r="A71" s="3" t="s">
        <v>147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12">
        <f>$B70*Inputs!$B$15*Curves!C5*(1-Inputs!$B$16)</f>
        <v>136246.9691</v>
      </c>
      <c r="L71" s="12">
        <f>$B70*Inputs!$B$15*Curves!C6*(1-Inputs!$B$16)</f>
        <v>64967.22209</v>
      </c>
      <c r="M71" s="12">
        <f>$B70*Inputs!$B$15*Curves!C7*(1-Inputs!$B$16)</f>
        <v>41644.66055</v>
      </c>
      <c r="N71" s="12">
        <f>$B70*Inputs!$B$15*Curves!C8*(1-Inputs!$B$16)</f>
        <v>29299.51575</v>
      </c>
      <c r="O71" s="12">
        <f>$B70*Inputs!$B$15*Curves!C9*(1-Inputs!$B$16)</f>
        <v>17419.43571</v>
      </c>
      <c r="P71" s="12">
        <f>$B70*Inputs!$B$15*Curves!C10*(1-Inputs!$B$16)</f>
        <v>15615.22907</v>
      </c>
      <c r="Q71" s="12">
        <f>$B70*Inputs!$B$15*Curves!C11*(1-Inputs!$B$16)</f>
        <v>13486.00679</v>
      </c>
      <c r="R71" s="12">
        <f>$B70*Inputs!$B$15*Curves!C12*(1-Inputs!$B$16)</f>
        <v>11915.64009</v>
      </c>
      <c r="S71" s="12">
        <f>$B70*Inputs!$B$15*Curves!C13*(1-Inputs!$B$16)</f>
        <v>10652.10428</v>
      </c>
      <c r="T71" s="12">
        <f>$B70*Inputs!$B$15*Curves!C14*(1-Inputs!$B$16)</f>
        <v>12378.21661</v>
      </c>
      <c r="U71" s="12">
        <f>$B70*Inputs!$B$15*Curves!C15*(1-Inputs!$B$16)</f>
        <v>8625</v>
      </c>
      <c r="V71" s="12">
        <f>$B70*Inputs!$B$15*Curves!C16*(1-Inputs!$B$16)</f>
        <v>8625</v>
      </c>
      <c r="W71" s="12">
        <f>$B70*Inputs!$B$15*Curves!C17*(1-Inputs!$B$16)</f>
        <v>8625</v>
      </c>
      <c r="X71" s="12">
        <f>$B70*Inputs!$B$15*Curves!C18*(1-Inputs!$B$16)</f>
        <v>2156.25</v>
      </c>
      <c r="Y71" s="12">
        <f>$B70*Inputs!$B$15*Curves!C19*(1-Inputs!$B$16)</f>
        <v>2156.25</v>
      </c>
      <c r="Z71" s="12">
        <f>$B70*Inputs!$B$15*Curves!C20*(1-Inputs!$B$16)</f>
        <v>2156.25</v>
      </c>
      <c r="AA71" s="12">
        <f>$B70*Inputs!$B$15*Curves!C21*(1-Inputs!$B$16)</f>
        <v>2156.25</v>
      </c>
      <c r="AB71" s="12">
        <f>$B70*Inputs!$B$15*Curves!C22*(1-Inputs!$B$16)</f>
        <v>2156.25</v>
      </c>
      <c r="AC71" s="12">
        <f>$B70*Inputs!$B$15*Curves!C23*(1-Inputs!$B$16)</f>
        <v>2156.25</v>
      </c>
      <c r="AD71" s="12">
        <f>$B70*Inputs!$B$15*Curves!C24*(1-Inputs!$B$16)</f>
        <v>2156.25</v>
      </c>
      <c r="AE71" s="12">
        <f>$B70*Inputs!$B$15*Curves!C25*(1-Inputs!$B$16)</f>
        <v>2156.25</v>
      </c>
      <c r="AF71" s="12">
        <f>$B70*Inputs!$B$15*Curves!C26*(1-Inputs!$B$16)</f>
        <v>2156.25</v>
      </c>
      <c r="AG71" s="12">
        <f>$B70*Inputs!$B$15*Curves!C27*(1-Inputs!$B$16)</f>
        <v>2156.25</v>
      </c>
      <c r="AH71" s="12">
        <f>$B70*Inputs!$B$15*Curves!C28*(1-Inputs!$B$16)</f>
        <v>2156.25</v>
      </c>
      <c r="AI71" s="12">
        <f>$B70*Inputs!$B$15*Curves!C29*(1-Inputs!$B$16)</f>
        <v>2156.25</v>
      </c>
      <c r="AJ71" s="12">
        <f>$B70*Inputs!$B$15*Curves!C30*(1-Inputs!$B$16)</f>
        <v>2156.25</v>
      </c>
      <c r="AK71" s="12">
        <f>$B70*Inputs!$B$15*Curves!C31*(1-Inputs!$B$16)</f>
        <v>2156.25</v>
      </c>
      <c r="AL71" s="12">
        <f>$B70*Inputs!$B$15*Curves!C32*(1-Inputs!$B$16)</f>
        <v>2156.25</v>
      </c>
      <c r="AM71" s="12">
        <f>$B70*Inputs!$B$15*Curves!C33*(1-Inputs!$B$16)</f>
        <v>2156.25</v>
      </c>
    </row>
    <row r="72" ht="15.75" customHeight="1">
      <c r="A72" s="3" t="s">
        <v>148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 t="s">
        <v>149</v>
      </c>
      <c r="L72" s="3" t="str">
        <f t="shared" ref="L72:AM72" si="36">IF($B70=0, "N", IF(K75&gt;=$B70, "Y", "N"))</f>
        <v>N</v>
      </c>
      <c r="M72" s="3" t="str">
        <f t="shared" si="36"/>
        <v>N</v>
      </c>
      <c r="N72" s="3" t="str">
        <f t="shared" si="36"/>
        <v>N</v>
      </c>
      <c r="O72" s="3" t="str">
        <f t="shared" si="36"/>
        <v>Y</v>
      </c>
      <c r="P72" s="3" t="str">
        <f t="shared" si="36"/>
        <v>Y</v>
      </c>
      <c r="Q72" s="3" t="str">
        <f t="shared" si="36"/>
        <v>Y</v>
      </c>
      <c r="R72" s="3" t="str">
        <f t="shared" si="36"/>
        <v>Y</v>
      </c>
      <c r="S72" s="3" t="str">
        <f t="shared" si="36"/>
        <v>Y</v>
      </c>
      <c r="T72" s="3" t="str">
        <f t="shared" si="36"/>
        <v>Y</v>
      </c>
      <c r="U72" s="3" t="str">
        <f t="shared" si="36"/>
        <v>Y</v>
      </c>
      <c r="V72" s="3" t="str">
        <f t="shared" si="36"/>
        <v>Y</v>
      </c>
      <c r="W72" s="3" t="str">
        <f t="shared" si="36"/>
        <v>Y</v>
      </c>
      <c r="X72" s="3" t="str">
        <f t="shared" si="36"/>
        <v>Y</v>
      </c>
      <c r="Y72" s="3" t="str">
        <f t="shared" si="36"/>
        <v>Y</v>
      </c>
      <c r="Z72" s="3" t="str">
        <f t="shared" si="36"/>
        <v>Y</v>
      </c>
      <c r="AA72" s="3" t="str">
        <f t="shared" si="36"/>
        <v>Y</v>
      </c>
      <c r="AB72" s="3" t="str">
        <f t="shared" si="36"/>
        <v>Y</v>
      </c>
      <c r="AC72" s="3" t="str">
        <f t="shared" si="36"/>
        <v>Y</v>
      </c>
      <c r="AD72" s="3" t="str">
        <f t="shared" si="36"/>
        <v>Y</v>
      </c>
      <c r="AE72" s="3" t="str">
        <f t="shared" si="36"/>
        <v>Y</v>
      </c>
      <c r="AF72" s="3" t="str">
        <f t="shared" si="36"/>
        <v>Y</v>
      </c>
      <c r="AG72" s="3" t="str">
        <f t="shared" si="36"/>
        <v>Y</v>
      </c>
      <c r="AH72" s="3" t="str">
        <f t="shared" si="36"/>
        <v>Y</v>
      </c>
      <c r="AI72" s="3" t="str">
        <f t="shared" si="36"/>
        <v>Y</v>
      </c>
      <c r="AJ72" s="3" t="str">
        <f t="shared" si="36"/>
        <v>Y</v>
      </c>
      <c r="AK72" s="3" t="str">
        <f t="shared" si="36"/>
        <v>Y</v>
      </c>
      <c r="AL72" s="3" t="str">
        <f t="shared" si="36"/>
        <v>Y</v>
      </c>
      <c r="AM72" s="3" t="str">
        <f t="shared" si="36"/>
        <v>Y</v>
      </c>
    </row>
    <row r="73" ht="15.75" customHeight="1">
      <c r="A73" s="3" t="s">
        <v>150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12">
        <v>0.0</v>
      </c>
      <c r="L73" s="12">
        <f>IF(AND(L72="Y", K76="N"), $B70*Inputs!$B$12/12, 0)</f>
        <v>0</v>
      </c>
      <c r="M73" s="12">
        <f>IF(AND(M72="Y", L76="N"), $B70*Inputs!$B$12/12, 0)</f>
        <v>0</v>
      </c>
      <c r="N73" s="12">
        <f>IF(AND(N72="Y", M76="N"), $B70*Inputs!$B$12/12, 0)</f>
        <v>0</v>
      </c>
      <c r="O73" s="12">
        <f>IF(AND(O72="Y", N76="N"), $B70*Inputs!$B$12/12, 0)</f>
        <v>0</v>
      </c>
      <c r="P73" s="12">
        <f>IF(AND(P72="Y", O76="N"), $B70*Inputs!$B$12/12, 0)</f>
        <v>0</v>
      </c>
      <c r="Q73" s="12">
        <f>IF(AND(Q72="Y", P76="N"), $B70*Inputs!$B$12/12, 0)</f>
        <v>0</v>
      </c>
      <c r="R73" s="12">
        <f>IF(AND(R72="Y", Q76="N"), $B70*Inputs!$B$12/12, 0)</f>
        <v>0</v>
      </c>
      <c r="S73" s="12">
        <f>IF(AND(S72="Y", R76="N"), $B70*Inputs!$B$12/12, 0)</f>
        <v>0</v>
      </c>
      <c r="T73" s="12">
        <f>IF(AND(T72="Y", S76="N"), $B70*Inputs!$B$12/12, 0)</f>
        <v>0</v>
      </c>
      <c r="U73" s="12">
        <f>IF(AND(U72="Y", T76="N"), $B70*Inputs!$B$12/12, 0)</f>
        <v>0</v>
      </c>
      <c r="V73" s="12">
        <f>IF(AND(V72="Y", U76="N"), $B70*Inputs!$B$12/12, 0)</f>
        <v>0</v>
      </c>
      <c r="W73" s="12">
        <f>IF(AND(W72="Y", V76="N"), $B70*Inputs!$B$12/12, 0)</f>
        <v>0</v>
      </c>
      <c r="X73" s="12">
        <f>IF(AND(X72="Y", W76="N"), $B70*Inputs!$B$12/12, 0)</f>
        <v>0</v>
      </c>
      <c r="Y73" s="12">
        <f>IF(AND(Y72="Y", X76="N"), $B70*Inputs!$B$12/12, 0)</f>
        <v>0</v>
      </c>
      <c r="Z73" s="12">
        <f>IF(AND(Z72="Y", Y76="N"), $B70*Inputs!$B$12/12, 0)</f>
        <v>0</v>
      </c>
      <c r="AA73" s="12">
        <f>IF(AND(AA72="Y", Z76="N"), $B70*Inputs!$B$12/12, 0)</f>
        <v>0</v>
      </c>
      <c r="AB73" s="12">
        <f>IF(AND(AB72="Y", AA76="N"), $B70*Inputs!$B$12/12, 0)</f>
        <v>0</v>
      </c>
      <c r="AC73" s="12">
        <f>IF(AND(AC72="Y", AB76="N"), $B70*Inputs!$B$12/12, 0)</f>
        <v>0</v>
      </c>
      <c r="AD73" s="12">
        <f>IF(AND(AD72="Y", AC76="N"), $B70*Inputs!$B$12/12, 0)</f>
        <v>0</v>
      </c>
      <c r="AE73" s="12">
        <f>IF(AND(AE72="Y", AD76="N"), $B70*Inputs!$B$12/12, 0)</f>
        <v>0</v>
      </c>
      <c r="AF73" s="12">
        <f>IF(AND(AF72="Y", AE76="N"), $B70*Inputs!$B$12/12, 0)</f>
        <v>0</v>
      </c>
      <c r="AG73" s="12">
        <f>IF(AND(AG72="Y", AF76="N"), $B70*Inputs!$B$12/12, 0)</f>
        <v>0</v>
      </c>
      <c r="AH73" s="12">
        <f>IF(AND(AH72="Y", AG76="N"), $B70*Inputs!$B$12/12, 0)</f>
        <v>0</v>
      </c>
      <c r="AI73" s="12">
        <f>IF(AND(AI72="Y", AH76="N"), $B70*Inputs!$B$12/12, 0)</f>
        <v>0</v>
      </c>
      <c r="AJ73" s="12">
        <f>IF(AND(AJ72="Y", AI76="N"), $B70*Inputs!$B$12/12, 0)</f>
        <v>0</v>
      </c>
      <c r="AK73" s="12">
        <f>IF(AND(AK72="Y", AJ76="N"), $B70*Inputs!$B$12/12, 0)</f>
        <v>0</v>
      </c>
      <c r="AL73" s="12">
        <f>IF(AND(AL72="Y", AK76="N"), $B70*Inputs!$B$12/12, 0)</f>
        <v>0</v>
      </c>
      <c r="AM73" s="12">
        <f>IF(AND(AM72="Y", AL76="N"), $B70*Inputs!$B$12/12, 0)</f>
        <v>0</v>
      </c>
    </row>
    <row r="74" ht="15.75" customHeight="1">
      <c r="A74" s="3" t="s">
        <v>151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12">
        <f>IF($B70=0, 0, MIN(K71, $C70))</f>
        <v>136246.9691</v>
      </c>
      <c r="L74" s="12">
        <f t="shared" ref="L74:AM74" si="37">IF($B70=0, 0, IF(K76="Y", 0, IF(L72="N", MIN(L71, $C70-K75), MIN(L71*0.5+L73, $C70-K75))))</f>
        <v>64967.22209</v>
      </c>
      <c r="M74" s="12">
        <f t="shared" si="37"/>
        <v>41644.66055</v>
      </c>
      <c r="N74" s="12">
        <f t="shared" si="37"/>
        <v>19641.14831</v>
      </c>
      <c r="O74" s="12">
        <f t="shared" si="37"/>
        <v>0</v>
      </c>
      <c r="P74" s="12">
        <f t="shared" si="37"/>
        <v>0</v>
      </c>
      <c r="Q74" s="12">
        <f t="shared" si="37"/>
        <v>0</v>
      </c>
      <c r="R74" s="12">
        <f t="shared" si="37"/>
        <v>0</v>
      </c>
      <c r="S74" s="12">
        <f t="shared" si="37"/>
        <v>0</v>
      </c>
      <c r="T74" s="12">
        <f t="shared" si="37"/>
        <v>0</v>
      </c>
      <c r="U74" s="12">
        <f t="shared" si="37"/>
        <v>0</v>
      </c>
      <c r="V74" s="12">
        <f t="shared" si="37"/>
        <v>0</v>
      </c>
      <c r="W74" s="12">
        <f t="shared" si="37"/>
        <v>0</v>
      </c>
      <c r="X74" s="12">
        <f t="shared" si="37"/>
        <v>0</v>
      </c>
      <c r="Y74" s="12">
        <f t="shared" si="37"/>
        <v>0</v>
      </c>
      <c r="Z74" s="12">
        <f t="shared" si="37"/>
        <v>0</v>
      </c>
      <c r="AA74" s="12">
        <f t="shared" si="37"/>
        <v>0</v>
      </c>
      <c r="AB74" s="12">
        <f t="shared" si="37"/>
        <v>0</v>
      </c>
      <c r="AC74" s="12">
        <f t="shared" si="37"/>
        <v>0</v>
      </c>
      <c r="AD74" s="12">
        <f t="shared" si="37"/>
        <v>0</v>
      </c>
      <c r="AE74" s="12">
        <f t="shared" si="37"/>
        <v>0</v>
      </c>
      <c r="AF74" s="12">
        <f t="shared" si="37"/>
        <v>0</v>
      </c>
      <c r="AG74" s="12">
        <f t="shared" si="37"/>
        <v>0</v>
      </c>
      <c r="AH74" s="12">
        <f t="shared" si="37"/>
        <v>0</v>
      </c>
      <c r="AI74" s="12">
        <f t="shared" si="37"/>
        <v>0</v>
      </c>
      <c r="AJ74" s="12">
        <f t="shared" si="37"/>
        <v>0</v>
      </c>
      <c r="AK74" s="12">
        <f t="shared" si="37"/>
        <v>0</v>
      </c>
      <c r="AL74" s="12">
        <f t="shared" si="37"/>
        <v>0</v>
      </c>
      <c r="AM74" s="12">
        <f t="shared" si="37"/>
        <v>0</v>
      </c>
    </row>
    <row r="75" ht="15.75" customHeight="1">
      <c r="A75" s="3" t="s">
        <v>152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12">
        <f>K74</f>
        <v>136246.9691</v>
      </c>
      <c r="L75" s="12">
        <f t="shared" ref="L75:AM75" si="38">K75+L74</f>
        <v>201214.1911</v>
      </c>
      <c r="M75" s="12">
        <f t="shared" si="38"/>
        <v>242858.8517</v>
      </c>
      <c r="N75" s="12">
        <f t="shared" si="38"/>
        <v>262500</v>
      </c>
      <c r="O75" s="12">
        <f t="shared" si="38"/>
        <v>262500</v>
      </c>
      <c r="P75" s="12">
        <f t="shared" si="38"/>
        <v>262500</v>
      </c>
      <c r="Q75" s="12">
        <f t="shared" si="38"/>
        <v>262500</v>
      </c>
      <c r="R75" s="12">
        <f t="shared" si="38"/>
        <v>262500</v>
      </c>
      <c r="S75" s="12">
        <f t="shared" si="38"/>
        <v>262500</v>
      </c>
      <c r="T75" s="12">
        <f t="shared" si="38"/>
        <v>262500</v>
      </c>
      <c r="U75" s="12">
        <f t="shared" si="38"/>
        <v>262500</v>
      </c>
      <c r="V75" s="12">
        <f t="shared" si="38"/>
        <v>262500</v>
      </c>
      <c r="W75" s="12">
        <f t="shared" si="38"/>
        <v>262500</v>
      </c>
      <c r="X75" s="12">
        <f t="shared" si="38"/>
        <v>262500</v>
      </c>
      <c r="Y75" s="12">
        <f t="shared" si="38"/>
        <v>262500</v>
      </c>
      <c r="Z75" s="12">
        <f t="shared" si="38"/>
        <v>262500</v>
      </c>
      <c r="AA75" s="12">
        <f t="shared" si="38"/>
        <v>262500</v>
      </c>
      <c r="AB75" s="12">
        <f t="shared" si="38"/>
        <v>262500</v>
      </c>
      <c r="AC75" s="12">
        <f t="shared" si="38"/>
        <v>262500</v>
      </c>
      <c r="AD75" s="12">
        <f t="shared" si="38"/>
        <v>262500</v>
      </c>
      <c r="AE75" s="12">
        <f t="shared" si="38"/>
        <v>262500</v>
      </c>
      <c r="AF75" s="12">
        <f t="shared" si="38"/>
        <v>262500</v>
      </c>
      <c r="AG75" s="12">
        <f t="shared" si="38"/>
        <v>262500</v>
      </c>
      <c r="AH75" s="12">
        <f t="shared" si="38"/>
        <v>262500</v>
      </c>
      <c r="AI75" s="12">
        <f t="shared" si="38"/>
        <v>262500</v>
      </c>
      <c r="AJ75" s="12">
        <f t="shared" si="38"/>
        <v>262500</v>
      </c>
      <c r="AK75" s="12">
        <f t="shared" si="38"/>
        <v>262500</v>
      </c>
      <c r="AL75" s="12">
        <f t="shared" si="38"/>
        <v>262500</v>
      </c>
      <c r="AM75" s="12">
        <f t="shared" si="38"/>
        <v>262500</v>
      </c>
    </row>
    <row r="76" ht="15.75" customHeight="1">
      <c r="A76" s="3" t="s">
        <v>153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 t="str">
        <f t="shared" ref="K76:AM76" si="39">IF(K75&gt;=$C70, "Y", "N")</f>
        <v>N</v>
      </c>
      <c r="L76" s="3" t="str">
        <f t="shared" si="39"/>
        <v>N</v>
      </c>
      <c r="M76" s="3" t="str">
        <f t="shared" si="39"/>
        <v>N</v>
      </c>
      <c r="N76" s="3" t="str">
        <f t="shared" si="39"/>
        <v>Y</v>
      </c>
      <c r="O76" s="3" t="str">
        <f t="shared" si="39"/>
        <v>Y</v>
      </c>
      <c r="P76" s="3" t="str">
        <f t="shared" si="39"/>
        <v>Y</v>
      </c>
      <c r="Q76" s="3" t="str">
        <f t="shared" si="39"/>
        <v>Y</v>
      </c>
      <c r="R76" s="3" t="str">
        <f t="shared" si="39"/>
        <v>Y</v>
      </c>
      <c r="S76" s="3" t="str">
        <f t="shared" si="39"/>
        <v>Y</v>
      </c>
      <c r="T76" s="3" t="str">
        <f t="shared" si="39"/>
        <v>Y</v>
      </c>
      <c r="U76" s="3" t="str">
        <f t="shared" si="39"/>
        <v>Y</v>
      </c>
      <c r="V76" s="3" t="str">
        <f t="shared" si="39"/>
        <v>Y</v>
      </c>
      <c r="W76" s="3" t="str">
        <f t="shared" si="39"/>
        <v>Y</v>
      </c>
      <c r="X76" s="3" t="str">
        <f t="shared" si="39"/>
        <v>Y</v>
      </c>
      <c r="Y76" s="3" t="str">
        <f t="shared" si="39"/>
        <v>Y</v>
      </c>
      <c r="Z76" s="3" t="str">
        <f t="shared" si="39"/>
        <v>Y</v>
      </c>
      <c r="AA76" s="3" t="str">
        <f t="shared" si="39"/>
        <v>Y</v>
      </c>
      <c r="AB76" s="3" t="str">
        <f t="shared" si="39"/>
        <v>Y</v>
      </c>
      <c r="AC76" s="3" t="str">
        <f t="shared" si="39"/>
        <v>Y</v>
      </c>
      <c r="AD76" s="3" t="str">
        <f t="shared" si="39"/>
        <v>Y</v>
      </c>
      <c r="AE76" s="3" t="str">
        <f t="shared" si="39"/>
        <v>Y</v>
      </c>
      <c r="AF76" s="3" t="str">
        <f t="shared" si="39"/>
        <v>Y</v>
      </c>
      <c r="AG76" s="3" t="str">
        <f t="shared" si="39"/>
        <v>Y</v>
      </c>
      <c r="AH76" s="3" t="str">
        <f t="shared" si="39"/>
        <v>Y</v>
      </c>
      <c r="AI76" s="3" t="str">
        <f t="shared" si="39"/>
        <v>Y</v>
      </c>
      <c r="AJ76" s="3" t="str">
        <f t="shared" si="39"/>
        <v>Y</v>
      </c>
      <c r="AK76" s="3" t="str">
        <f t="shared" si="39"/>
        <v>Y</v>
      </c>
      <c r="AL76" s="3" t="str">
        <f t="shared" si="39"/>
        <v>Y</v>
      </c>
      <c r="AM76" s="3" t="str">
        <f t="shared" si="39"/>
        <v>Y</v>
      </c>
    </row>
    <row r="77" ht="15.75" customHeight="1">
      <c r="A77" s="3" t="s">
        <v>154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12">
        <f t="shared" ref="K77:AM77" si="40">K71-K74</f>
        <v>0</v>
      </c>
      <c r="L77" s="12">
        <f t="shared" si="40"/>
        <v>0</v>
      </c>
      <c r="M77" s="12">
        <f t="shared" si="40"/>
        <v>0</v>
      </c>
      <c r="N77" s="12">
        <f t="shared" si="40"/>
        <v>9658.367449</v>
      </c>
      <c r="O77" s="12">
        <f t="shared" si="40"/>
        <v>17419.43571</v>
      </c>
      <c r="P77" s="12">
        <f t="shared" si="40"/>
        <v>15615.22907</v>
      </c>
      <c r="Q77" s="12">
        <f t="shared" si="40"/>
        <v>13486.00679</v>
      </c>
      <c r="R77" s="12">
        <f t="shared" si="40"/>
        <v>11915.64009</v>
      </c>
      <c r="S77" s="12">
        <f t="shared" si="40"/>
        <v>10652.10428</v>
      </c>
      <c r="T77" s="12">
        <f t="shared" si="40"/>
        <v>12378.21661</v>
      </c>
      <c r="U77" s="12">
        <f t="shared" si="40"/>
        <v>8625</v>
      </c>
      <c r="V77" s="12">
        <f t="shared" si="40"/>
        <v>8625</v>
      </c>
      <c r="W77" s="12">
        <f t="shared" si="40"/>
        <v>8625</v>
      </c>
      <c r="X77" s="12">
        <f t="shared" si="40"/>
        <v>2156.25</v>
      </c>
      <c r="Y77" s="12">
        <f t="shared" si="40"/>
        <v>2156.25</v>
      </c>
      <c r="Z77" s="12">
        <f t="shared" si="40"/>
        <v>2156.25</v>
      </c>
      <c r="AA77" s="12">
        <f t="shared" si="40"/>
        <v>2156.25</v>
      </c>
      <c r="AB77" s="12">
        <f t="shared" si="40"/>
        <v>2156.25</v>
      </c>
      <c r="AC77" s="12">
        <f t="shared" si="40"/>
        <v>2156.25</v>
      </c>
      <c r="AD77" s="12">
        <f t="shared" si="40"/>
        <v>2156.25</v>
      </c>
      <c r="AE77" s="12">
        <f t="shared" si="40"/>
        <v>2156.25</v>
      </c>
      <c r="AF77" s="12">
        <f t="shared" si="40"/>
        <v>2156.25</v>
      </c>
      <c r="AG77" s="12">
        <f t="shared" si="40"/>
        <v>2156.25</v>
      </c>
      <c r="AH77" s="12">
        <f t="shared" si="40"/>
        <v>2156.25</v>
      </c>
      <c r="AI77" s="12">
        <f t="shared" si="40"/>
        <v>2156.25</v>
      </c>
      <c r="AJ77" s="12">
        <f t="shared" si="40"/>
        <v>2156.25</v>
      </c>
      <c r="AK77" s="12">
        <f t="shared" si="40"/>
        <v>2156.25</v>
      </c>
      <c r="AL77" s="12">
        <f t="shared" si="40"/>
        <v>2156.25</v>
      </c>
      <c r="AM77" s="12">
        <f t="shared" si="40"/>
        <v>2156.25</v>
      </c>
    </row>
    <row r="78" ht="15.75" customHeight="1"/>
    <row r="79" ht="15.75" customHeight="1">
      <c r="A79" s="2" t="str">
        <f>Acquisition_Plan!A12</f>
        <v>2026-09-29</v>
      </c>
      <c r="B79" s="12">
        <f>Acquisition_Plan!E12</f>
        <v>300000</v>
      </c>
      <c r="C79" s="12">
        <f>B79*(1+Inputs!$B$12)</f>
        <v>315000</v>
      </c>
    </row>
    <row r="80" ht="15.75" customHeight="1">
      <c r="A80" s="3" t="s">
        <v>147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12">
        <f>$B79*Inputs!$B$15*Curves!C5*(1-Inputs!$B$16)</f>
        <v>163496.3629</v>
      </c>
      <c r="M80" s="12">
        <f>$B79*Inputs!$B$15*Curves!C6*(1-Inputs!$B$16)</f>
        <v>77960.66651</v>
      </c>
      <c r="N80" s="12">
        <f>$B79*Inputs!$B$15*Curves!C7*(1-Inputs!$B$16)</f>
        <v>49973.59266</v>
      </c>
      <c r="O80" s="12">
        <f>$B79*Inputs!$B$15*Curves!C8*(1-Inputs!$B$16)</f>
        <v>35159.4189</v>
      </c>
      <c r="P80" s="12">
        <f>$B79*Inputs!$B$15*Curves!C9*(1-Inputs!$B$16)</f>
        <v>20903.32286</v>
      </c>
      <c r="Q80" s="12">
        <f>$B79*Inputs!$B$15*Curves!C10*(1-Inputs!$B$16)</f>
        <v>18738.27488</v>
      </c>
      <c r="R80" s="12">
        <f>$B79*Inputs!$B$15*Curves!C11*(1-Inputs!$B$16)</f>
        <v>16183.20815</v>
      </c>
      <c r="S80" s="12">
        <f>$B79*Inputs!$B$15*Curves!C12*(1-Inputs!$B$16)</f>
        <v>14298.7681</v>
      </c>
      <c r="T80" s="12">
        <f>$B79*Inputs!$B$15*Curves!C13*(1-Inputs!$B$16)</f>
        <v>12782.52514</v>
      </c>
      <c r="U80" s="12">
        <f>$B79*Inputs!$B$15*Curves!C14*(1-Inputs!$B$16)</f>
        <v>14853.85993</v>
      </c>
      <c r="V80" s="12">
        <f>$B79*Inputs!$B$15*Curves!C15*(1-Inputs!$B$16)</f>
        <v>10350</v>
      </c>
      <c r="W80" s="12">
        <f>$B79*Inputs!$B$15*Curves!C16*(1-Inputs!$B$16)</f>
        <v>10350</v>
      </c>
      <c r="X80" s="12">
        <f>$B79*Inputs!$B$15*Curves!C17*(1-Inputs!$B$16)</f>
        <v>10350</v>
      </c>
      <c r="Y80" s="12">
        <f>$B79*Inputs!$B$15*Curves!C18*(1-Inputs!$B$16)</f>
        <v>2587.5</v>
      </c>
      <c r="Z80" s="12">
        <f>$B79*Inputs!$B$15*Curves!C19*(1-Inputs!$B$16)</f>
        <v>2587.5</v>
      </c>
      <c r="AA80" s="12">
        <f>$B79*Inputs!$B$15*Curves!C20*(1-Inputs!$B$16)</f>
        <v>2587.5</v>
      </c>
      <c r="AB80" s="12">
        <f>$B79*Inputs!$B$15*Curves!C21*(1-Inputs!$B$16)</f>
        <v>2587.5</v>
      </c>
      <c r="AC80" s="12">
        <f>$B79*Inputs!$B$15*Curves!C22*(1-Inputs!$B$16)</f>
        <v>2587.5</v>
      </c>
      <c r="AD80" s="12">
        <f>$B79*Inputs!$B$15*Curves!C23*(1-Inputs!$B$16)</f>
        <v>2587.5</v>
      </c>
      <c r="AE80" s="12">
        <f>$B79*Inputs!$B$15*Curves!C24*(1-Inputs!$B$16)</f>
        <v>2587.5</v>
      </c>
      <c r="AF80" s="12">
        <f>$B79*Inputs!$B$15*Curves!C25*(1-Inputs!$B$16)</f>
        <v>2587.5</v>
      </c>
      <c r="AG80" s="12">
        <f>$B79*Inputs!$B$15*Curves!C26*(1-Inputs!$B$16)</f>
        <v>2587.5</v>
      </c>
      <c r="AH80" s="12">
        <f>$B79*Inputs!$B$15*Curves!C27*(1-Inputs!$B$16)</f>
        <v>2587.5</v>
      </c>
      <c r="AI80" s="12">
        <f>$B79*Inputs!$B$15*Curves!C28*(1-Inputs!$B$16)</f>
        <v>2587.5</v>
      </c>
      <c r="AJ80" s="12">
        <f>$B79*Inputs!$B$15*Curves!C29*(1-Inputs!$B$16)</f>
        <v>2587.5</v>
      </c>
      <c r="AK80" s="12">
        <f>$B79*Inputs!$B$15*Curves!C30*(1-Inputs!$B$16)</f>
        <v>2587.5</v>
      </c>
      <c r="AL80" s="12">
        <f>$B79*Inputs!$B$15*Curves!C31*(1-Inputs!$B$16)</f>
        <v>2587.5</v>
      </c>
      <c r="AM80" s="12">
        <f>$B79*Inputs!$B$15*Curves!C32*(1-Inputs!$B$16)</f>
        <v>2587.5</v>
      </c>
    </row>
    <row r="81" ht="15.75" customHeight="1">
      <c r="A81" s="3" t="s">
        <v>148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 t="s">
        <v>149</v>
      </c>
      <c r="M81" s="3" t="str">
        <f t="shared" ref="M81:AM81" si="41">IF($B79=0, "N", IF(L84&gt;=$B79, "Y", "N"))</f>
        <v>N</v>
      </c>
      <c r="N81" s="3" t="str">
        <f t="shared" si="41"/>
        <v>N</v>
      </c>
      <c r="O81" s="3" t="str">
        <f t="shared" si="41"/>
        <v>N</v>
      </c>
      <c r="P81" s="3" t="str">
        <f t="shared" si="41"/>
        <v>Y</v>
      </c>
      <c r="Q81" s="3" t="str">
        <f t="shared" si="41"/>
        <v>Y</v>
      </c>
      <c r="R81" s="3" t="str">
        <f t="shared" si="41"/>
        <v>Y</v>
      </c>
      <c r="S81" s="3" t="str">
        <f t="shared" si="41"/>
        <v>Y</v>
      </c>
      <c r="T81" s="3" t="str">
        <f t="shared" si="41"/>
        <v>Y</v>
      </c>
      <c r="U81" s="3" t="str">
        <f t="shared" si="41"/>
        <v>Y</v>
      </c>
      <c r="V81" s="3" t="str">
        <f t="shared" si="41"/>
        <v>Y</v>
      </c>
      <c r="W81" s="3" t="str">
        <f t="shared" si="41"/>
        <v>Y</v>
      </c>
      <c r="X81" s="3" t="str">
        <f t="shared" si="41"/>
        <v>Y</v>
      </c>
      <c r="Y81" s="3" t="str">
        <f t="shared" si="41"/>
        <v>Y</v>
      </c>
      <c r="Z81" s="3" t="str">
        <f t="shared" si="41"/>
        <v>Y</v>
      </c>
      <c r="AA81" s="3" t="str">
        <f t="shared" si="41"/>
        <v>Y</v>
      </c>
      <c r="AB81" s="3" t="str">
        <f t="shared" si="41"/>
        <v>Y</v>
      </c>
      <c r="AC81" s="3" t="str">
        <f t="shared" si="41"/>
        <v>Y</v>
      </c>
      <c r="AD81" s="3" t="str">
        <f t="shared" si="41"/>
        <v>Y</v>
      </c>
      <c r="AE81" s="3" t="str">
        <f t="shared" si="41"/>
        <v>Y</v>
      </c>
      <c r="AF81" s="3" t="str">
        <f t="shared" si="41"/>
        <v>Y</v>
      </c>
      <c r="AG81" s="3" t="str">
        <f t="shared" si="41"/>
        <v>Y</v>
      </c>
      <c r="AH81" s="3" t="str">
        <f t="shared" si="41"/>
        <v>Y</v>
      </c>
      <c r="AI81" s="3" t="str">
        <f t="shared" si="41"/>
        <v>Y</v>
      </c>
      <c r="AJ81" s="3" t="str">
        <f t="shared" si="41"/>
        <v>Y</v>
      </c>
      <c r="AK81" s="3" t="str">
        <f t="shared" si="41"/>
        <v>Y</v>
      </c>
      <c r="AL81" s="3" t="str">
        <f t="shared" si="41"/>
        <v>Y</v>
      </c>
      <c r="AM81" s="3" t="str">
        <f t="shared" si="41"/>
        <v>Y</v>
      </c>
    </row>
    <row r="82" ht="15.75" customHeight="1">
      <c r="A82" s="3" t="s">
        <v>150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12">
        <v>0.0</v>
      </c>
      <c r="M82" s="12">
        <f>IF(AND(M81="Y", L85="N"), $B79*Inputs!$B$12/12, 0)</f>
        <v>0</v>
      </c>
      <c r="N82" s="12">
        <f>IF(AND(N81="Y", M85="N"), $B79*Inputs!$B$12/12, 0)</f>
        <v>0</v>
      </c>
      <c r="O82" s="12">
        <f>IF(AND(O81="Y", N85="N"), $B79*Inputs!$B$12/12, 0)</f>
        <v>0</v>
      </c>
      <c r="P82" s="12">
        <f>IF(AND(P81="Y", O85="N"), $B79*Inputs!$B$12/12, 0)</f>
        <v>0</v>
      </c>
      <c r="Q82" s="12">
        <f>IF(AND(Q81="Y", P85="N"), $B79*Inputs!$B$12/12, 0)</f>
        <v>0</v>
      </c>
      <c r="R82" s="12">
        <f>IF(AND(R81="Y", Q85="N"), $B79*Inputs!$B$12/12, 0)</f>
        <v>0</v>
      </c>
      <c r="S82" s="12">
        <f>IF(AND(S81="Y", R85="N"), $B79*Inputs!$B$12/12, 0)</f>
        <v>0</v>
      </c>
      <c r="T82" s="12">
        <f>IF(AND(T81="Y", S85="N"), $B79*Inputs!$B$12/12, 0)</f>
        <v>0</v>
      </c>
      <c r="U82" s="12">
        <f>IF(AND(U81="Y", T85="N"), $B79*Inputs!$B$12/12, 0)</f>
        <v>0</v>
      </c>
      <c r="V82" s="12">
        <f>IF(AND(V81="Y", U85="N"), $B79*Inputs!$B$12/12, 0)</f>
        <v>0</v>
      </c>
      <c r="W82" s="12">
        <f>IF(AND(W81="Y", V85="N"), $B79*Inputs!$B$12/12, 0)</f>
        <v>0</v>
      </c>
      <c r="X82" s="12">
        <f>IF(AND(X81="Y", W85="N"), $B79*Inputs!$B$12/12, 0)</f>
        <v>0</v>
      </c>
      <c r="Y82" s="12">
        <f>IF(AND(Y81="Y", X85="N"), $B79*Inputs!$B$12/12, 0)</f>
        <v>0</v>
      </c>
      <c r="Z82" s="12">
        <f>IF(AND(Z81="Y", Y85="N"), $B79*Inputs!$B$12/12, 0)</f>
        <v>0</v>
      </c>
      <c r="AA82" s="12">
        <f>IF(AND(AA81="Y", Z85="N"), $B79*Inputs!$B$12/12, 0)</f>
        <v>0</v>
      </c>
      <c r="AB82" s="12">
        <f>IF(AND(AB81="Y", AA85="N"), $B79*Inputs!$B$12/12, 0)</f>
        <v>0</v>
      </c>
      <c r="AC82" s="12">
        <f>IF(AND(AC81="Y", AB85="N"), $B79*Inputs!$B$12/12, 0)</f>
        <v>0</v>
      </c>
      <c r="AD82" s="12">
        <f>IF(AND(AD81="Y", AC85="N"), $B79*Inputs!$B$12/12, 0)</f>
        <v>0</v>
      </c>
      <c r="AE82" s="12">
        <f>IF(AND(AE81="Y", AD85="N"), $B79*Inputs!$B$12/12, 0)</f>
        <v>0</v>
      </c>
      <c r="AF82" s="12">
        <f>IF(AND(AF81="Y", AE85="N"), $B79*Inputs!$B$12/12, 0)</f>
        <v>0</v>
      </c>
      <c r="AG82" s="12">
        <f>IF(AND(AG81="Y", AF85="N"), $B79*Inputs!$B$12/12, 0)</f>
        <v>0</v>
      </c>
      <c r="AH82" s="12">
        <f>IF(AND(AH81="Y", AG85="N"), $B79*Inputs!$B$12/12, 0)</f>
        <v>0</v>
      </c>
      <c r="AI82" s="12">
        <f>IF(AND(AI81="Y", AH85="N"), $B79*Inputs!$B$12/12, 0)</f>
        <v>0</v>
      </c>
      <c r="AJ82" s="12">
        <f>IF(AND(AJ81="Y", AI85="N"), $B79*Inputs!$B$12/12, 0)</f>
        <v>0</v>
      </c>
      <c r="AK82" s="12">
        <f>IF(AND(AK81="Y", AJ85="N"), $B79*Inputs!$B$12/12, 0)</f>
        <v>0</v>
      </c>
      <c r="AL82" s="12">
        <f>IF(AND(AL81="Y", AK85="N"), $B79*Inputs!$B$12/12, 0)</f>
        <v>0</v>
      </c>
      <c r="AM82" s="12">
        <f>IF(AND(AM81="Y", AL85="N"), $B79*Inputs!$B$12/12, 0)</f>
        <v>0</v>
      </c>
    </row>
    <row r="83" ht="15.75" customHeight="1">
      <c r="A83" s="3" t="s">
        <v>151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12">
        <f>IF($B79=0, 0, MIN(L80, $C79))</f>
        <v>163496.3629</v>
      </c>
      <c r="M83" s="12">
        <f t="shared" ref="M83:AM83" si="42">IF($B79=0, 0, IF(L85="Y", 0, IF(M81="N", MIN(M80, $C79-L84), MIN(M80*0.5+M82, $C79-L84))))</f>
        <v>77960.66651</v>
      </c>
      <c r="N83" s="12">
        <f t="shared" si="42"/>
        <v>49973.59266</v>
      </c>
      <c r="O83" s="12">
        <f t="shared" si="42"/>
        <v>23569.37797</v>
      </c>
      <c r="P83" s="12">
        <f t="shared" si="42"/>
        <v>0</v>
      </c>
      <c r="Q83" s="12">
        <f t="shared" si="42"/>
        <v>0</v>
      </c>
      <c r="R83" s="12">
        <f t="shared" si="42"/>
        <v>0</v>
      </c>
      <c r="S83" s="12">
        <f t="shared" si="42"/>
        <v>0</v>
      </c>
      <c r="T83" s="12">
        <f t="shared" si="42"/>
        <v>0</v>
      </c>
      <c r="U83" s="12">
        <f t="shared" si="42"/>
        <v>0</v>
      </c>
      <c r="V83" s="12">
        <f t="shared" si="42"/>
        <v>0</v>
      </c>
      <c r="W83" s="12">
        <f t="shared" si="42"/>
        <v>0</v>
      </c>
      <c r="X83" s="12">
        <f t="shared" si="42"/>
        <v>0</v>
      </c>
      <c r="Y83" s="12">
        <f t="shared" si="42"/>
        <v>0</v>
      </c>
      <c r="Z83" s="12">
        <f t="shared" si="42"/>
        <v>0</v>
      </c>
      <c r="AA83" s="12">
        <f t="shared" si="42"/>
        <v>0</v>
      </c>
      <c r="AB83" s="12">
        <f t="shared" si="42"/>
        <v>0</v>
      </c>
      <c r="AC83" s="12">
        <f t="shared" si="42"/>
        <v>0</v>
      </c>
      <c r="AD83" s="12">
        <f t="shared" si="42"/>
        <v>0</v>
      </c>
      <c r="AE83" s="12">
        <f t="shared" si="42"/>
        <v>0</v>
      </c>
      <c r="AF83" s="12">
        <f t="shared" si="42"/>
        <v>0</v>
      </c>
      <c r="AG83" s="12">
        <f t="shared" si="42"/>
        <v>0</v>
      </c>
      <c r="AH83" s="12">
        <f t="shared" si="42"/>
        <v>0</v>
      </c>
      <c r="AI83" s="12">
        <f t="shared" si="42"/>
        <v>0</v>
      </c>
      <c r="AJ83" s="12">
        <f t="shared" si="42"/>
        <v>0</v>
      </c>
      <c r="AK83" s="12">
        <f t="shared" si="42"/>
        <v>0</v>
      </c>
      <c r="AL83" s="12">
        <f t="shared" si="42"/>
        <v>0</v>
      </c>
      <c r="AM83" s="12">
        <f t="shared" si="42"/>
        <v>0</v>
      </c>
    </row>
    <row r="84" ht="15.75" customHeight="1">
      <c r="A84" s="3" t="s">
        <v>152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12">
        <f>L83</f>
        <v>163496.3629</v>
      </c>
      <c r="M84" s="12">
        <f t="shared" ref="M84:AM84" si="43">L84+M83</f>
        <v>241457.0294</v>
      </c>
      <c r="N84" s="12">
        <f t="shared" si="43"/>
        <v>291430.622</v>
      </c>
      <c r="O84" s="12">
        <f t="shared" si="43"/>
        <v>315000</v>
      </c>
      <c r="P84" s="12">
        <f t="shared" si="43"/>
        <v>315000</v>
      </c>
      <c r="Q84" s="12">
        <f t="shared" si="43"/>
        <v>315000</v>
      </c>
      <c r="R84" s="12">
        <f t="shared" si="43"/>
        <v>315000</v>
      </c>
      <c r="S84" s="12">
        <f t="shared" si="43"/>
        <v>315000</v>
      </c>
      <c r="T84" s="12">
        <f t="shared" si="43"/>
        <v>315000</v>
      </c>
      <c r="U84" s="12">
        <f t="shared" si="43"/>
        <v>315000</v>
      </c>
      <c r="V84" s="12">
        <f t="shared" si="43"/>
        <v>315000</v>
      </c>
      <c r="W84" s="12">
        <f t="shared" si="43"/>
        <v>315000</v>
      </c>
      <c r="X84" s="12">
        <f t="shared" si="43"/>
        <v>315000</v>
      </c>
      <c r="Y84" s="12">
        <f t="shared" si="43"/>
        <v>315000</v>
      </c>
      <c r="Z84" s="12">
        <f t="shared" si="43"/>
        <v>315000</v>
      </c>
      <c r="AA84" s="12">
        <f t="shared" si="43"/>
        <v>315000</v>
      </c>
      <c r="AB84" s="12">
        <f t="shared" si="43"/>
        <v>315000</v>
      </c>
      <c r="AC84" s="12">
        <f t="shared" si="43"/>
        <v>315000</v>
      </c>
      <c r="AD84" s="12">
        <f t="shared" si="43"/>
        <v>315000</v>
      </c>
      <c r="AE84" s="12">
        <f t="shared" si="43"/>
        <v>315000</v>
      </c>
      <c r="AF84" s="12">
        <f t="shared" si="43"/>
        <v>315000</v>
      </c>
      <c r="AG84" s="12">
        <f t="shared" si="43"/>
        <v>315000</v>
      </c>
      <c r="AH84" s="12">
        <f t="shared" si="43"/>
        <v>315000</v>
      </c>
      <c r="AI84" s="12">
        <f t="shared" si="43"/>
        <v>315000</v>
      </c>
      <c r="AJ84" s="12">
        <f t="shared" si="43"/>
        <v>315000</v>
      </c>
      <c r="AK84" s="12">
        <f t="shared" si="43"/>
        <v>315000</v>
      </c>
      <c r="AL84" s="12">
        <f t="shared" si="43"/>
        <v>315000</v>
      </c>
      <c r="AM84" s="12">
        <f t="shared" si="43"/>
        <v>315000</v>
      </c>
    </row>
    <row r="85" ht="15.75" customHeight="1">
      <c r="A85" s="3" t="s">
        <v>153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 t="str">
        <f t="shared" ref="L85:AM85" si="44">IF(L84&gt;=$C79, "Y", "N")</f>
        <v>N</v>
      </c>
      <c r="M85" s="3" t="str">
        <f t="shared" si="44"/>
        <v>N</v>
      </c>
      <c r="N85" s="3" t="str">
        <f t="shared" si="44"/>
        <v>N</v>
      </c>
      <c r="O85" s="3" t="str">
        <f t="shared" si="44"/>
        <v>Y</v>
      </c>
      <c r="P85" s="3" t="str">
        <f t="shared" si="44"/>
        <v>Y</v>
      </c>
      <c r="Q85" s="3" t="str">
        <f t="shared" si="44"/>
        <v>Y</v>
      </c>
      <c r="R85" s="3" t="str">
        <f t="shared" si="44"/>
        <v>Y</v>
      </c>
      <c r="S85" s="3" t="str">
        <f t="shared" si="44"/>
        <v>Y</v>
      </c>
      <c r="T85" s="3" t="str">
        <f t="shared" si="44"/>
        <v>Y</v>
      </c>
      <c r="U85" s="3" t="str">
        <f t="shared" si="44"/>
        <v>Y</v>
      </c>
      <c r="V85" s="3" t="str">
        <f t="shared" si="44"/>
        <v>Y</v>
      </c>
      <c r="W85" s="3" t="str">
        <f t="shared" si="44"/>
        <v>Y</v>
      </c>
      <c r="X85" s="3" t="str">
        <f t="shared" si="44"/>
        <v>Y</v>
      </c>
      <c r="Y85" s="3" t="str">
        <f t="shared" si="44"/>
        <v>Y</v>
      </c>
      <c r="Z85" s="3" t="str">
        <f t="shared" si="44"/>
        <v>Y</v>
      </c>
      <c r="AA85" s="3" t="str">
        <f t="shared" si="44"/>
        <v>Y</v>
      </c>
      <c r="AB85" s="3" t="str">
        <f t="shared" si="44"/>
        <v>Y</v>
      </c>
      <c r="AC85" s="3" t="str">
        <f t="shared" si="44"/>
        <v>Y</v>
      </c>
      <c r="AD85" s="3" t="str">
        <f t="shared" si="44"/>
        <v>Y</v>
      </c>
      <c r="AE85" s="3" t="str">
        <f t="shared" si="44"/>
        <v>Y</v>
      </c>
      <c r="AF85" s="3" t="str">
        <f t="shared" si="44"/>
        <v>Y</v>
      </c>
      <c r="AG85" s="3" t="str">
        <f t="shared" si="44"/>
        <v>Y</v>
      </c>
      <c r="AH85" s="3" t="str">
        <f t="shared" si="44"/>
        <v>Y</v>
      </c>
      <c r="AI85" s="3" t="str">
        <f t="shared" si="44"/>
        <v>Y</v>
      </c>
      <c r="AJ85" s="3" t="str">
        <f t="shared" si="44"/>
        <v>Y</v>
      </c>
      <c r="AK85" s="3" t="str">
        <f t="shared" si="44"/>
        <v>Y</v>
      </c>
      <c r="AL85" s="3" t="str">
        <f t="shared" si="44"/>
        <v>Y</v>
      </c>
      <c r="AM85" s="3" t="str">
        <f t="shared" si="44"/>
        <v>Y</v>
      </c>
    </row>
    <row r="86" ht="15.75" customHeight="1">
      <c r="A86" s="3" t="s">
        <v>154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12">
        <f t="shared" ref="L86:AM86" si="45">L80-L83</f>
        <v>0</v>
      </c>
      <c r="M86" s="12">
        <f t="shared" si="45"/>
        <v>0</v>
      </c>
      <c r="N86" s="12">
        <f t="shared" si="45"/>
        <v>0</v>
      </c>
      <c r="O86" s="12">
        <f t="shared" si="45"/>
        <v>11590.04094</v>
      </c>
      <c r="P86" s="12">
        <f t="shared" si="45"/>
        <v>20903.32286</v>
      </c>
      <c r="Q86" s="12">
        <f t="shared" si="45"/>
        <v>18738.27488</v>
      </c>
      <c r="R86" s="12">
        <f t="shared" si="45"/>
        <v>16183.20815</v>
      </c>
      <c r="S86" s="12">
        <f t="shared" si="45"/>
        <v>14298.7681</v>
      </c>
      <c r="T86" s="12">
        <f t="shared" si="45"/>
        <v>12782.52514</v>
      </c>
      <c r="U86" s="12">
        <f t="shared" si="45"/>
        <v>14853.85993</v>
      </c>
      <c r="V86" s="12">
        <f t="shared" si="45"/>
        <v>10350</v>
      </c>
      <c r="W86" s="12">
        <f t="shared" si="45"/>
        <v>10350</v>
      </c>
      <c r="X86" s="12">
        <f t="shared" si="45"/>
        <v>10350</v>
      </c>
      <c r="Y86" s="12">
        <f t="shared" si="45"/>
        <v>2587.5</v>
      </c>
      <c r="Z86" s="12">
        <f t="shared" si="45"/>
        <v>2587.5</v>
      </c>
      <c r="AA86" s="12">
        <f t="shared" si="45"/>
        <v>2587.5</v>
      </c>
      <c r="AB86" s="12">
        <f t="shared" si="45"/>
        <v>2587.5</v>
      </c>
      <c r="AC86" s="12">
        <f t="shared" si="45"/>
        <v>2587.5</v>
      </c>
      <c r="AD86" s="12">
        <f t="shared" si="45"/>
        <v>2587.5</v>
      </c>
      <c r="AE86" s="12">
        <f t="shared" si="45"/>
        <v>2587.5</v>
      </c>
      <c r="AF86" s="12">
        <f t="shared" si="45"/>
        <v>2587.5</v>
      </c>
      <c r="AG86" s="12">
        <f t="shared" si="45"/>
        <v>2587.5</v>
      </c>
      <c r="AH86" s="12">
        <f t="shared" si="45"/>
        <v>2587.5</v>
      </c>
      <c r="AI86" s="12">
        <f t="shared" si="45"/>
        <v>2587.5</v>
      </c>
      <c r="AJ86" s="12">
        <f t="shared" si="45"/>
        <v>2587.5</v>
      </c>
      <c r="AK86" s="12">
        <f t="shared" si="45"/>
        <v>2587.5</v>
      </c>
      <c r="AL86" s="12">
        <f t="shared" si="45"/>
        <v>2587.5</v>
      </c>
      <c r="AM86" s="12">
        <f t="shared" si="45"/>
        <v>2587.5</v>
      </c>
    </row>
    <row r="87" ht="15.75" customHeight="1"/>
    <row r="88" ht="15.75" customHeight="1">
      <c r="A88" s="2" t="str">
        <f>Acquisition_Plan!A13</f>
        <v>2026-10-29</v>
      </c>
      <c r="B88" s="12">
        <f>Acquisition_Plan!E13</f>
        <v>300000</v>
      </c>
      <c r="C88" s="12">
        <f>B88*(1+Inputs!$B$12)</f>
        <v>315000</v>
      </c>
    </row>
    <row r="89" ht="15.75" customHeight="1">
      <c r="A89" s="3" t="s">
        <v>147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12">
        <f>$B88*Inputs!$B$15*Curves!C5*(1-Inputs!$B$16)</f>
        <v>163496.3629</v>
      </c>
      <c r="N89" s="12">
        <f>$B88*Inputs!$B$15*Curves!C6*(1-Inputs!$B$16)</f>
        <v>77960.66651</v>
      </c>
      <c r="O89" s="12">
        <f>$B88*Inputs!$B$15*Curves!C7*(1-Inputs!$B$16)</f>
        <v>49973.59266</v>
      </c>
      <c r="P89" s="12">
        <f>$B88*Inputs!$B$15*Curves!C8*(1-Inputs!$B$16)</f>
        <v>35159.4189</v>
      </c>
      <c r="Q89" s="12">
        <f>$B88*Inputs!$B$15*Curves!C9*(1-Inputs!$B$16)</f>
        <v>20903.32286</v>
      </c>
      <c r="R89" s="12">
        <f>$B88*Inputs!$B$15*Curves!C10*(1-Inputs!$B$16)</f>
        <v>18738.27488</v>
      </c>
      <c r="S89" s="12">
        <f>$B88*Inputs!$B$15*Curves!C11*(1-Inputs!$B$16)</f>
        <v>16183.20815</v>
      </c>
      <c r="T89" s="12">
        <f>$B88*Inputs!$B$15*Curves!C12*(1-Inputs!$B$16)</f>
        <v>14298.7681</v>
      </c>
      <c r="U89" s="12">
        <f>$B88*Inputs!$B$15*Curves!C13*(1-Inputs!$B$16)</f>
        <v>12782.52514</v>
      </c>
      <c r="V89" s="12">
        <f>$B88*Inputs!$B$15*Curves!C14*(1-Inputs!$B$16)</f>
        <v>14853.85993</v>
      </c>
      <c r="W89" s="12">
        <f>$B88*Inputs!$B$15*Curves!C15*(1-Inputs!$B$16)</f>
        <v>10350</v>
      </c>
      <c r="X89" s="12">
        <f>$B88*Inputs!$B$15*Curves!C16*(1-Inputs!$B$16)</f>
        <v>10350</v>
      </c>
      <c r="Y89" s="12">
        <f>$B88*Inputs!$B$15*Curves!C17*(1-Inputs!$B$16)</f>
        <v>10350</v>
      </c>
      <c r="Z89" s="12">
        <f>$B88*Inputs!$B$15*Curves!C18*(1-Inputs!$B$16)</f>
        <v>2587.5</v>
      </c>
      <c r="AA89" s="12">
        <f>$B88*Inputs!$B$15*Curves!C19*(1-Inputs!$B$16)</f>
        <v>2587.5</v>
      </c>
      <c r="AB89" s="12">
        <f>$B88*Inputs!$B$15*Curves!C20*(1-Inputs!$B$16)</f>
        <v>2587.5</v>
      </c>
      <c r="AC89" s="12">
        <f>$B88*Inputs!$B$15*Curves!C21*(1-Inputs!$B$16)</f>
        <v>2587.5</v>
      </c>
      <c r="AD89" s="12">
        <f>$B88*Inputs!$B$15*Curves!C22*(1-Inputs!$B$16)</f>
        <v>2587.5</v>
      </c>
      <c r="AE89" s="12">
        <f>$B88*Inputs!$B$15*Curves!C23*(1-Inputs!$B$16)</f>
        <v>2587.5</v>
      </c>
      <c r="AF89" s="12">
        <f>$B88*Inputs!$B$15*Curves!C24*(1-Inputs!$B$16)</f>
        <v>2587.5</v>
      </c>
      <c r="AG89" s="12">
        <f>$B88*Inputs!$B$15*Curves!C25*(1-Inputs!$B$16)</f>
        <v>2587.5</v>
      </c>
      <c r="AH89" s="12">
        <f>$B88*Inputs!$B$15*Curves!C26*(1-Inputs!$B$16)</f>
        <v>2587.5</v>
      </c>
      <c r="AI89" s="12">
        <f>$B88*Inputs!$B$15*Curves!C27*(1-Inputs!$B$16)</f>
        <v>2587.5</v>
      </c>
      <c r="AJ89" s="12">
        <f>$B88*Inputs!$B$15*Curves!C28*(1-Inputs!$B$16)</f>
        <v>2587.5</v>
      </c>
      <c r="AK89" s="12">
        <f>$B88*Inputs!$B$15*Curves!C29*(1-Inputs!$B$16)</f>
        <v>2587.5</v>
      </c>
      <c r="AL89" s="12">
        <f>$B88*Inputs!$B$15*Curves!C30*(1-Inputs!$B$16)</f>
        <v>2587.5</v>
      </c>
      <c r="AM89" s="12">
        <f>$B88*Inputs!$B$15*Curves!C31*(1-Inputs!$B$16)</f>
        <v>2587.5</v>
      </c>
    </row>
    <row r="90" ht="15.75" customHeight="1">
      <c r="A90" s="3" t="s">
        <v>148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 t="s">
        <v>149</v>
      </c>
      <c r="N90" s="3" t="str">
        <f t="shared" ref="N90:AM90" si="46">IF($B88=0, "N", IF(M93&gt;=$B88, "Y", "N"))</f>
        <v>N</v>
      </c>
      <c r="O90" s="3" t="str">
        <f t="shared" si="46"/>
        <v>N</v>
      </c>
      <c r="P90" s="3" t="str">
        <f t="shared" si="46"/>
        <v>N</v>
      </c>
      <c r="Q90" s="3" t="str">
        <f t="shared" si="46"/>
        <v>Y</v>
      </c>
      <c r="R90" s="3" t="str">
        <f t="shared" si="46"/>
        <v>Y</v>
      </c>
      <c r="S90" s="3" t="str">
        <f t="shared" si="46"/>
        <v>Y</v>
      </c>
      <c r="T90" s="3" t="str">
        <f t="shared" si="46"/>
        <v>Y</v>
      </c>
      <c r="U90" s="3" t="str">
        <f t="shared" si="46"/>
        <v>Y</v>
      </c>
      <c r="V90" s="3" t="str">
        <f t="shared" si="46"/>
        <v>Y</v>
      </c>
      <c r="W90" s="3" t="str">
        <f t="shared" si="46"/>
        <v>Y</v>
      </c>
      <c r="X90" s="3" t="str">
        <f t="shared" si="46"/>
        <v>Y</v>
      </c>
      <c r="Y90" s="3" t="str">
        <f t="shared" si="46"/>
        <v>Y</v>
      </c>
      <c r="Z90" s="3" t="str">
        <f t="shared" si="46"/>
        <v>Y</v>
      </c>
      <c r="AA90" s="3" t="str">
        <f t="shared" si="46"/>
        <v>Y</v>
      </c>
      <c r="AB90" s="3" t="str">
        <f t="shared" si="46"/>
        <v>Y</v>
      </c>
      <c r="AC90" s="3" t="str">
        <f t="shared" si="46"/>
        <v>Y</v>
      </c>
      <c r="AD90" s="3" t="str">
        <f t="shared" si="46"/>
        <v>Y</v>
      </c>
      <c r="AE90" s="3" t="str">
        <f t="shared" si="46"/>
        <v>Y</v>
      </c>
      <c r="AF90" s="3" t="str">
        <f t="shared" si="46"/>
        <v>Y</v>
      </c>
      <c r="AG90" s="3" t="str">
        <f t="shared" si="46"/>
        <v>Y</v>
      </c>
      <c r="AH90" s="3" t="str">
        <f t="shared" si="46"/>
        <v>Y</v>
      </c>
      <c r="AI90" s="3" t="str">
        <f t="shared" si="46"/>
        <v>Y</v>
      </c>
      <c r="AJ90" s="3" t="str">
        <f t="shared" si="46"/>
        <v>Y</v>
      </c>
      <c r="AK90" s="3" t="str">
        <f t="shared" si="46"/>
        <v>Y</v>
      </c>
      <c r="AL90" s="3" t="str">
        <f t="shared" si="46"/>
        <v>Y</v>
      </c>
      <c r="AM90" s="3" t="str">
        <f t="shared" si="46"/>
        <v>Y</v>
      </c>
    </row>
    <row r="91" ht="15.75" customHeight="1">
      <c r="A91" s="3" t="s">
        <v>150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12">
        <v>0.0</v>
      </c>
      <c r="N91" s="12">
        <f>IF(AND(N90="Y", M94="N"), $B88*Inputs!$B$12/12, 0)</f>
        <v>0</v>
      </c>
      <c r="O91" s="12">
        <f>IF(AND(O90="Y", N94="N"), $B88*Inputs!$B$12/12, 0)</f>
        <v>0</v>
      </c>
      <c r="P91" s="12">
        <f>IF(AND(P90="Y", O94="N"), $B88*Inputs!$B$12/12, 0)</f>
        <v>0</v>
      </c>
      <c r="Q91" s="12">
        <f>IF(AND(Q90="Y", P94="N"), $B88*Inputs!$B$12/12, 0)</f>
        <v>0</v>
      </c>
      <c r="R91" s="12">
        <f>IF(AND(R90="Y", Q94="N"), $B88*Inputs!$B$12/12, 0)</f>
        <v>0</v>
      </c>
      <c r="S91" s="12">
        <f>IF(AND(S90="Y", R94="N"), $B88*Inputs!$B$12/12, 0)</f>
        <v>0</v>
      </c>
      <c r="T91" s="12">
        <f>IF(AND(T90="Y", S94="N"), $B88*Inputs!$B$12/12, 0)</f>
        <v>0</v>
      </c>
      <c r="U91" s="12">
        <f>IF(AND(U90="Y", T94="N"), $B88*Inputs!$B$12/12, 0)</f>
        <v>0</v>
      </c>
      <c r="V91" s="12">
        <f>IF(AND(V90="Y", U94="N"), $B88*Inputs!$B$12/12, 0)</f>
        <v>0</v>
      </c>
      <c r="W91" s="12">
        <f>IF(AND(W90="Y", V94="N"), $B88*Inputs!$B$12/12, 0)</f>
        <v>0</v>
      </c>
      <c r="X91" s="12">
        <f>IF(AND(X90="Y", W94="N"), $B88*Inputs!$B$12/12, 0)</f>
        <v>0</v>
      </c>
      <c r="Y91" s="12">
        <f>IF(AND(Y90="Y", X94="N"), $B88*Inputs!$B$12/12, 0)</f>
        <v>0</v>
      </c>
      <c r="Z91" s="12">
        <f>IF(AND(Z90="Y", Y94="N"), $B88*Inputs!$B$12/12, 0)</f>
        <v>0</v>
      </c>
      <c r="AA91" s="12">
        <f>IF(AND(AA90="Y", Z94="N"), $B88*Inputs!$B$12/12, 0)</f>
        <v>0</v>
      </c>
      <c r="AB91" s="12">
        <f>IF(AND(AB90="Y", AA94="N"), $B88*Inputs!$B$12/12, 0)</f>
        <v>0</v>
      </c>
      <c r="AC91" s="12">
        <f>IF(AND(AC90="Y", AB94="N"), $B88*Inputs!$B$12/12, 0)</f>
        <v>0</v>
      </c>
      <c r="AD91" s="12">
        <f>IF(AND(AD90="Y", AC94="N"), $B88*Inputs!$B$12/12, 0)</f>
        <v>0</v>
      </c>
      <c r="AE91" s="12">
        <f>IF(AND(AE90="Y", AD94="N"), $B88*Inputs!$B$12/12, 0)</f>
        <v>0</v>
      </c>
      <c r="AF91" s="12">
        <f>IF(AND(AF90="Y", AE94="N"), $B88*Inputs!$B$12/12, 0)</f>
        <v>0</v>
      </c>
      <c r="AG91" s="12">
        <f>IF(AND(AG90="Y", AF94="N"), $B88*Inputs!$B$12/12, 0)</f>
        <v>0</v>
      </c>
      <c r="AH91" s="12">
        <f>IF(AND(AH90="Y", AG94="N"), $B88*Inputs!$B$12/12, 0)</f>
        <v>0</v>
      </c>
      <c r="AI91" s="12">
        <f>IF(AND(AI90="Y", AH94="N"), $B88*Inputs!$B$12/12, 0)</f>
        <v>0</v>
      </c>
      <c r="AJ91" s="12">
        <f>IF(AND(AJ90="Y", AI94="N"), $B88*Inputs!$B$12/12, 0)</f>
        <v>0</v>
      </c>
      <c r="AK91" s="12">
        <f>IF(AND(AK90="Y", AJ94="N"), $B88*Inputs!$B$12/12, 0)</f>
        <v>0</v>
      </c>
      <c r="AL91" s="12">
        <f>IF(AND(AL90="Y", AK94="N"), $B88*Inputs!$B$12/12, 0)</f>
        <v>0</v>
      </c>
      <c r="AM91" s="12">
        <f>IF(AND(AM90="Y", AL94="N"), $B88*Inputs!$B$12/12, 0)</f>
        <v>0</v>
      </c>
    </row>
    <row r="92" ht="15.75" customHeight="1">
      <c r="A92" s="3" t="s">
        <v>151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12">
        <f>IF($B88=0, 0, MIN(M89, $C88))</f>
        <v>163496.3629</v>
      </c>
      <c r="N92" s="12">
        <f t="shared" ref="N92:AM92" si="47">IF($B88=0, 0, IF(M94="Y", 0, IF(N90="N", MIN(N89, $C88-M93), MIN(N89*0.5+N91, $C88-M93))))</f>
        <v>77960.66651</v>
      </c>
      <c r="O92" s="12">
        <f t="shared" si="47"/>
        <v>49973.59266</v>
      </c>
      <c r="P92" s="12">
        <f t="shared" si="47"/>
        <v>23569.37797</v>
      </c>
      <c r="Q92" s="12">
        <f t="shared" si="47"/>
        <v>0</v>
      </c>
      <c r="R92" s="12">
        <f t="shared" si="47"/>
        <v>0</v>
      </c>
      <c r="S92" s="12">
        <f t="shared" si="47"/>
        <v>0</v>
      </c>
      <c r="T92" s="12">
        <f t="shared" si="47"/>
        <v>0</v>
      </c>
      <c r="U92" s="12">
        <f t="shared" si="47"/>
        <v>0</v>
      </c>
      <c r="V92" s="12">
        <f t="shared" si="47"/>
        <v>0</v>
      </c>
      <c r="W92" s="12">
        <f t="shared" si="47"/>
        <v>0</v>
      </c>
      <c r="X92" s="12">
        <f t="shared" si="47"/>
        <v>0</v>
      </c>
      <c r="Y92" s="12">
        <f t="shared" si="47"/>
        <v>0</v>
      </c>
      <c r="Z92" s="12">
        <f t="shared" si="47"/>
        <v>0</v>
      </c>
      <c r="AA92" s="12">
        <f t="shared" si="47"/>
        <v>0</v>
      </c>
      <c r="AB92" s="12">
        <f t="shared" si="47"/>
        <v>0</v>
      </c>
      <c r="AC92" s="12">
        <f t="shared" si="47"/>
        <v>0</v>
      </c>
      <c r="AD92" s="12">
        <f t="shared" si="47"/>
        <v>0</v>
      </c>
      <c r="AE92" s="12">
        <f t="shared" si="47"/>
        <v>0</v>
      </c>
      <c r="AF92" s="12">
        <f t="shared" si="47"/>
        <v>0</v>
      </c>
      <c r="AG92" s="12">
        <f t="shared" si="47"/>
        <v>0</v>
      </c>
      <c r="AH92" s="12">
        <f t="shared" si="47"/>
        <v>0</v>
      </c>
      <c r="AI92" s="12">
        <f t="shared" si="47"/>
        <v>0</v>
      </c>
      <c r="AJ92" s="12">
        <f t="shared" si="47"/>
        <v>0</v>
      </c>
      <c r="AK92" s="12">
        <f t="shared" si="47"/>
        <v>0</v>
      </c>
      <c r="AL92" s="12">
        <f t="shared" si="47"/>
        <v>0</v>
      </c>
      <c r="AM92" s="12">
        <f t="shared" si="47"/>
        <v>0</v>
      </c>
    </row>
    <row r="93" ht="15.75" customHeight="1">
      <c r="A93" s="3" t="s">
        <v>152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12">
        <f>M92</f>
        <v>163496.3629</v>
      </c>
      <c r="N93" s="12">
        <f t="shared" ref="N93:AM93" si="48">M93+N92</f>
        <v>241457.0294</v>
      </c>
      <c r="O93" s="12">
        <f t="shared" si="48"/>
        <v>291430.622</v>
      </c>
      <c r="P93" s="12">
        <f t="shared" si="48"/>
        <v>315000</v>
      </c>
      <c r="Q93" s="12">
        <f t="shared" si="48"/>
        <v>315000</v>
      </c>
      <c r="R93" s="12">
        <f t="shared" si="48"/>
        <v>315000</v>
      </c>
      <c r="S93" s="12">
        <f t="shared" si="48"/>
        <v>315000</v>
      </c>
      <c r="T93" s="12">
        <f t="shared" si="48"/>
        <v>315000</v>
      </c>
      <c r="U93" s="12">
        <f t="shared" si="48"/>
        <v>315000</v>
      </c>
      <c r="V93" s="12">
        <f t="shared" si="48"/>
        <v>315000</v>
      </c>
      <c r="W93" s="12">
        <f t="shared" si="48"/>
        <v>315000</v>
      </c>
      <c r="X93" s="12">
        <f t="shared" si="48"/>
        <v>315000</v>
      </c>
      <c r="Y93" s="12">
        <f t="shared" si="48"/>
        <v>315000</v>
      </c>
      <c r="Z93" s="12">
        <f t="shared" si="48"/>
        <v>315000</v>
      </c>
      <c r="AA93" s="12">
        <f t="shared" si="48"/>
        <v>315000</v>
      </c>
      <c r="AB93" s="12">
        <f t="shared" si="48"/>
        <v>315000</v>
      </c>
      <c r="AC93" s="12">
        <f t="shared" si="48"/>
        <v>315000</v>
      </c>
      <c r="AD93" s="12">
        <f t="shared" si="48"/>
        <v>315000</v>
      </c>
      <c r="AE93" s="12">
        <f t="shared" si="48"/>
        <v>315000</v>
      </c>
      <c r="AF93" s="12">
        <f t="shared" si="48"/>
        <v>315000</v>
      </c>
      <c r="AG93" s="12">
        <f t="shared" si="48"/>
        <v>315000</v>
      </c>
      <c r="AH93" s="12">
        <f t="shared" si="48"/>
        <v>315000</v>
      </c>
      <c r="AI93" s="12">
        <f t="shared" si="48"/>
        <v>315000</v>
      </c>
      <c r="AJ93" s="12">
        <f t="shared" si="48"/>
        <v>315000</v>
      </c>
      <c r="AK93" s="12">
        <f t="shared" si="48"/>
        <v>315000</v>
      </c>
      <c r="AL93" s="12">
        <f t="shared" si="48"/>
        <v>315000</v>
      </c>
      <c r="AM93" s="12">
        <f t="shared" si="48"/>
        <v>315000</v>
      </c>
    </row>
    <row r="94" ht="15.75" customHeight="1">
      <c r="A94" s="3" t="s">
        <v>153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 t="str">
        <f t="shared" ref="M94:AM94" si="49">IF(M93&gt;=$C88, "Y", "N")</f>
        <v>N</v>
      </c>
      <c r="N94" s="3" t="str">
        <f t="shared" si="49"/>
        <v>N</v>
      </c>
      <c r="O94" s="3" t="str">
        <f t="shared" si="49"/>
        <v>N</v>
      </c>
      <c r="P94" s="3" t="str">
        <f t="shared" si="49"/>
        <v>Y</v>
      </c>
      <c r="Q94" s="3" t="str">
        <f t="shared" si="49"/>
        <v>Y</v>
      </c>
      <c r="R94" s="3" t="str">
        <f t="shared" si="49"/>
        <v>Y</v>
      </c>
      <c r="S94" s="3" t="str">
        <f t="shared" si="49"/>
        <v>Y</v>
      </c>
      <c r="T94" s="3" t="str">
        <f t="shared" si="49"/>
        <v>Y</v>
      </c>
      <c r="U94" s="3" t="str">
        <f t="shared" si="49"/>
        <v>Y</v>
      </c>
      <c r="V94" s="3" t="str">
        <f t="shared" si="49"/>
        <v>Y</v>
      </c>
      <c r="W94" s="3" t="str">
        <f t="shared" si="49"/>
        <v>Y</v>
      </c>
      <c r="X94" s="3" t="str">
        <f t="shared" si="49"/>
        <v>Y</v>
      </c>
      <c r="Y94" s="3" t="str">
        <f t="shared" si="49"/>
        <v>Y</v>
      </c>
      <c r="Z94" s="3" t="str">
        <f t="shared" si="49"/>
        <v>Y</v>
      </c>
      <c r="AA94" s="3" t="str">
        <f t="shared" si="49"/>
        <v>Y</v>
      </c>
      <c r="AB94" s="3" t="str">
        <f t="shared" si="49"/>
        <v>Y</v>
      </c>
      <c r="AC94" s="3" t="str">
        <f t="shared" si="49"/>
        <v>Y</v>
      </c>
      <c r="AD94" s="3" t="str">
        <f t="shared" si="49"/>
        <v>Y</v>
      </c>
      <c r="AE94" s="3" t="str">
        <f t="shared" si="49"/>
        <v>Y</v>
      </c>
      <c r="AF94" s="3" t="str">
        <f t="shared" si="49"/>
        <v>Y</v>
      </c>
      <c r="AG94" s="3" t="str">
        <f t="shared" si="49"/>
        <v>Y</v>
      </c>
      <c r="AH94" s="3" t="str">
        <f t="shared" si="49"/>
        <v>Y</v>
      </c>
      <c r="AI94" s="3" t="str">
        <f t="shared" si="49"/>
        <v>Y</v>
      </c>
      <c r="AJ94" s="3" t="str">
        <f t="shared" si="49"/>
        <v>Y</v>
      </c>
      <c r="AK94" s="3" t="str">
        <f t="shared" si="49"/>
        <v>Y</v>
      </c>
      <c r="AL94" s="3" t="str">
        <f t="shared" si="49"/>
        <v>Y</v>
      </c>
      <c r="AM94" s="3" t="str">
        <f t="shared" si="49"/>
        <v>Y</v>
      </c>
    </row>
    <row r="95" ht="15.75" customHeight="1">
      <c r="A95" s="3" t="s">
        <v>154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12">
        <f t="shared" ref="M95:AM95" si="50">M89-M92</f>
        <v>0</v>
      </c>
      <c r="N95" s="12">
        <f t="shared" si="50"/>
        <v>0</v>
      </c>
      <c r="O95" s="12">
        <f t="shared" si="50"/>
        <v>0</v>
      </c>
      <c r="P95" s="12">
        <f t="shared" si="50"/>
        <v>11590.04094</v>
      </c>
      <c r="Q95" s="12">
        <f t="shared" si="50"/>
        <v>20903.32286</v>
      </c>
      <c r="R95" s="12">
        <f t="shared" si="50"/>
        <v>18738.27488</v>
      </c>
      <c r="S95" s="12">
        <f t="shared" si="50"/>
        <v>16183.20815</v>
      </c>
      <c r="T95" s="12">
        <f t="shared" si="50"/>
        <v>14298.7681</v>
      </c>
      <c r="U95" s="12">
        <f t="shared" si="50"/>
        <v>12782.52514</v>
      </c>
      <c r="V95" s="12">
        <f t="shared" si="50"/>
        <v>14853.85993</v>
      </c>
      <c r="W95" s="12">
        <f t="shared" si="50"/>
        <v>10350</v>
      </c>
      <c r="X95" s="12">
        <f t="shared" si="50"/>
        <v>10350</v>
      </c>
      <c r="Y95" s="12">
        <f t="shared" si="50"/>
        <v>10350</v>
      </c>
      <c r="Z95" s="12">
        <f t="shared" si="50"/>
        <v>2587.5</v>
      </c>
      <c r="AA95" s="12">
        <f t="shared" si="50"/>
        <v>2587.5</v>
      </c>
      <c r="AB95" s="12">
        <f t="shared" si="50"/>
        <v>2587.5</v>
      </c>
      <c r="AC95" s="12">
        <f t="shared" si="50"/>
        <v>2587.5</v>
      </c>
      <c r="AD95" s="12">
        <f t="shared" si="50"/>
        <v>2587.5</v>
      </c>
      <c r="AE95" s="12">
        <f t="shared" si="50"/>
        <v>2587.5</v>
      </c>
      <c r="AF95" s="12">
        <f t="shared" si="50"/>
        <v>2587.5</v>
      </c>
      <c r="AG95" s="12">
        <f t="shared" si="50"/>
        <v>2587.5</v>
      </c>
      <c r="AH95" s="12">
        <f t="shared" si="50"/>
        <v>2587.5</v>
      </c>
      <c r="AI95" s="12">
        <f t="shared" si="50"/>
        <v>2587.5</v>
      </c>
      <c r="AJ95" s="12">
        <f t="shared" si="50"/>
        <v>2587.5</v>
      </c>
      <c r="AK95" s="12">
        <f t="shared" si="50"/>
        <v>2587.5</v>
      </c>
      <c r="AL95" s="12">
        <f t="shared" si="50"/>
        <v>2587.5</v>
      </c>
      <c r="AM95" s="12">
        <f t="shared" si="50"/>
        <v>2587.5</v>
      </c>
    </row>
    <row r="96" ht="15.75" customHeight="1"/>
    <row r="97" ht="15.75" customHeight="1">
      <c r="A97" s="2" t="str">
        <f>Acquisition_Plan!A14</f>
        <v>2026-11-28</v>
      </c>
      <c r="B97" s="12">
        <f>Acquisition_Plan!E14</f>
        <v>350000</v>
      </c>
      <c r="C97" s="12">
        <f>B97*(1+Inputs!$B$12)</f>
        <v>367500</v>
      </c>
    </row>
    <row r="98" ht="15.75" customHeight="1">
      <c r="A98" s="3" t="s">
        <v>147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12">
        <f>$B97*Inputs!$B$15*Curves!C5*(1-Inputs!$B$16)</f>
        <v>190745.7567</v>
      </c>
      <c r="O98" s="12">
        <f>$B97*Inputs!$B$15*Curves!C6*(1-Inputs!$B$16)</f>
        <v>90954.11093</v>
      </c>
      <c r="P98" s="12">
        <f>$B97*Inputs!$B$15*Curves!C7*(1-Inputs!$B$16)</f>
        <v>58302.52477</v>
      </c>
      <c r="Q98" s="12">
        <f>$B97*Inputs!$B$15*Curves!C8*(1-Inputs!$B$16)</f>
        <v>41019.32206</v>
      </c>
      <c r="R98" s="12">
        <f>$B97*Inputs!$B$15*Curves!C9*(1-Inputs!$B$16)</f>
        <v>24387.21</v>
      </c>
      <c r="S98" s="12">
        <f>$B97*Inputs!$B$15*Curves!C10*(1-Inputs!$B$16)</f>
        <v>21861.3207</v>
      </c>
      <c r="T98" s="12">
        <f>$B97*Inputs!$B$15*Curves!C11*(1-Inputs!$B$16)</f>
        <v>18880.4095</v>
      </c>
      <c r="U98" s="12">
        <f>$B97*Inputs!$B$15*Curves!C12*(1-Inputs!$B$16)</f>
        <v>16681.89612</v>
      </c>
      <c r="V98" s="12">
        <f>$B97*Inputs!$B$15*Curves!C13*(1-Inputs!$B$16)</f>
        <v>14912.946</v>
      </c>
      <c r="W98" s="12">
        <f>$B97*Inputs!$B$15*Curves!C14*(1-Inputs!$B$16)</f>
        <v>17329.50325</v>
      </c>
      <c r="X98" s="12">
        <f>$B97*Inputs!$B$15*Curves!C15*(1-Inputs!$B$16)</f>
        <v>12075</v>
      </c>
      <c r="Y98" s="12">
        <f>$B97*Inputs!$B$15*Curves!C16*(1-Inputs!$B$16)</f>
        <v>12075</v>
      </c>
      <c r="Z98" s="12">
        <f>$B97*Inputs!$B$15*Curves!C17*(1-Inputs!$B$16)</f>
        <v>12075</v>
      </c>
      <c r="AA98" s="12">
        <f>$B97*Inputs!$B$15*Curves!C18*(1-Inputs!$B$16)</f>
        <v>3018.75</v>
      </c>
      <c r="AB98" s="12">
        <f>$B97*Inputs!$B$15*Curves!C19*(1-Inputs!$B$16)</f>
        <v>3018.75</v>
      </c>
      <c r="AC98" s="12">
        <f>$B97*Inputs!$B$15*Curves!C20*(1-Inputs!$B$16)</f>
        <v>3018.75</v>
      </c>
      <c r="AD98" s="12">
        <f>$B97*Inputs!$B$15*Curves!C21*(1-Inputs!$B$16)</f>
        <v>3018.75</v>
      </c>
      <c r="AE98" s="12">
        <f>$B97*Inputs!$B$15*Curves!C22*(1-Inputs!$B$16)</f>
        <v>3018.75</v>
      </c>
      <c r="AF98" s="12">
        <f>$B97*Inputs!$B$15*Curves!C23*(1-Inputs!$B$16)</f>
        <v>3018.75</v>
      </c>
      <c r="AG98" s="12">
        <f>$B97*Inputs!$B$15*Curves!C24*(1-Inputs!$B$16)</f>
        <v>3018.75</v>
      </c>
      <c r="AH98" s="12">
        <f>$B97*Inputs!$B$15*Curves!C25*(1-Inputs!$B$16)</f>
        <v>3018.75</v>
      </c>
      <c r="AI98" s="12">
        <f>$B97*Inputs!$B$15*Curves!C26*(1-Inputs!$B$16)</f>
        <v>3018.75</v>
      </c>
      <c r="AJ98" s="12">
        <f>$B97*Inputs!$B$15*Curves!C27*(1-Inputs!$B$16)</f>
        <v>3018.75</v>
      </c>
      <c r="AK98" s="12">
        <f>$B97*Inputs!$B$15*Curves!C28*(1-Inputs!$B$16)</f>
        <v>3018.75</v>
      </c>
      <c r="AL98" s="12">
        <f>$B97*Inputs!$B$15*Curves!C29*(1-Inputs!$B$16)</f>
        <v>3018.75</v>
      </c>
      <c r="AM98" s="12">
        <f>$B97*Inputs!$B$15*Curves!C30*(1-Inputs!$B$16)</f>
        <v>3018.75</v>
      </c>
    </row>
    <row r="99" ht="15.75" customHeight="1">
      <c r="A99" s="3" t="s">
        <v>148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 t="s">
        <v>149</v>
      </c>
      <c r="O99" s="3" t="str">
        <f t="shared" ref="O99:AM99" si="51">IF($B97=0, "N", IF(N102&gt;=$B97, "Y", "N"))</f>
        <v>N</v>
      </c>
      <c r="P99" s="3" t="str">
        <f t="shared" si="51"/>
        <v>N</v>
      </c>
      <c r="Q99" s="3" t="str">
        <f t="shared" si="51"/>
        <v>N</v>
      </c>
      <c r="R99" s="3" t="str">
        <f t="shared" si="51"/>
        <v>Y</v>
      </c>
      <c r="S99" s="3" t="str">
        <f t="shared" si="51"/>
        <v>Y</v>
      </c>
      <c r="T99" s="3" t="str">
        <f t="shared" si="51"/>
        <v>Y</v>
      </c>
      <c r="U99" s="3" t="str">
        <f t="shared" si="51"/>
        <v>Y</v>
      </c>
      <c r="V99" s="3" t="str">
        <f t="shared" si="51"/>
        <v>Y</v>
      </c>
      <c r="W99" s="3" t="str">
        <f t="shared" si="51"/>
        <v>Y</v>
      </c>
      <c r="X99" s="3" t="str">
        <f t="shared" si="51"/>
        <v>Y</v>
      </c>
      <c r="Y99" s="3" t="str">
        <f t="shared" si="51"/>
        <v>Y</v>
      </c>
      <c r="Z99" s="3" t="str">
        <f t="shared" si="51"/>
        <v>Y</v>
      </c>
      <c r="AA99" s="3" t="str">
        <f t="shared" si="51"/>
        <v>Y</v>
      </c>
      <c r="AB99" s="3" t="str">
        <f t="shared" si="51"/>
        <v>Y</v>
      </c>
      <c r="AC99" s="3" t="str">
        <f t="shared" si="51"/>
        <v>Y</v>
      </c>
      <c r="AD99" s="3" t="str">
        <f t="shared" si="51"/>
        <v>Y</v>
      </c>
      <c r="AE99" s="3" t="str">
        <f t="shared" si="51"/>
        <v>Y</v>
      </c>
      <c r="AF99" s="3" t="str">
        <f t="shared" si="51"/>
        <v>Y</v>
      </c>
      <c r="AG99" s="3" t="str">
        <f t="shared" si="51"/>
        <v>Y</v>
      </c>
      <c r="AH99" s="3" t="str">
        <f t="shared" si="51"/>
        <v>Y</v>
      </c>
      <c r="AI99" s="3" t="str">
        <f t="shared" si="51"/>
        <v>Y</v>
      </c>
      <c r="AJ99" s="3" t="str">
        <f t="shared" si="51"/>
        <v>Y</v>
      </c>
      <c r="AK99" s="3" t="str">
        <f t="shared" si="51"/>
        <v>Y</v>
      </c>
      <c r="AL99" s="3" t="str">
        <f t="shared" si="51"/>
        <v>Y</v>
      </c>
      <c r="AM99" s="3" t="str">
        <f t="shared" si="51"/>
        <v>Y</v>
      </c>
    </row>
    <row r="100" ht="15.75" customHeight="1">
      <c r="A100" s="3" t="s">
        <v>150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12">
        <v>0.0</v>
      </c>
      <c r="O100" s="12">
        <f>IF(AND(O99="Y", N103="N"), $B97*Inputs!$B$12/12, 0)</f>
        <v>0</v>
      </c>
      <c r="P100" s="12">
        <f>IF(AND(P99="Y", O103="N"), $B97*Inputs!$B$12/12, 0)</f>
        <v>0</v>
      </c>
      <c r="Q100" s="12">
        <f>IF(AND(Q99="Y", P103="N"), $B97*Inputs!$B$12/12, 0)</f>
        <v>0</v>
      </c>
      <c r="R100" s="12">
        <f>IF(AND(R99="Y", Q103="N"), $B97*Inputs!$B$12/12, 0)</f>
        <v>0</v>
      </c>
      <c r="S100" s="12">
        <f>IF(AND(S99="Y", R103="N"), $B97*Inputs!$B$12/12, 0)</f>
        <v>0</v>
      </c>
      <c r="T100" s="12">
        <f>IF(AND(T99="Y", S103="N"), $B97*Inputs!$B$12/12, 0)</f>
        <v>0</v>
      </c>
      <c r="U100" s="12">
        <f>IF(AND(U99="Y", T103="N"), $B97*Inputs!$B$12/12, 0)</f>
        <v>0</v>
      </c>
      <c r="V100" s="12">
        <f>IF(AND(V99="Y", U103="N"), $B97*Inputs!$B$12/12, 0)</f>
        <v>0</v>
      </c>
      <c r="W100" s="12">
        <f>IF(AND(W99="Y", V103="N"), $B97*Inputs!$B$12/12, 0)</f>
        <v>0</v>
      </c>
      <c r="X100" s="12">
        <f>IF(AND(X99="Y", W103="N"), $B97*Inputs!$B$12/12, 0)</f>
        <v>0</v>
      </c>
      <c r="Y100" s="12">
        <f>IF(AND(Y99="Y", X103="N"), $B97*Inputs!$B$12/12, 0)</f>
        <v>0</v>
      </c>
      <c r="Z100" s="12">
        <f>IF(AND(Z99="Y", Y103="N"), $B97*Inputs!$B$12/12, 0)</f>
        <v>0</v>
      </c>
      <c r="AA100" s="12">
        <f>IF(AND(AA99="Y", Z103="N"), $B97*Inputs!$B$12/12, 0)</f>
        <v>0</v>
      </c>
      <c r="AB100" s="12">
        <f>IF(AND(AB99="Y", AA103="N"), $B97*Inputs!$B$12/12, 0)</f>
        <v>0</v>
      </c>
      <c r="AC100" s="12">
        <f>IF(AND(AC99="Y", AB103="N"), $B97*Inputs!$B$12/12, 0)</f>
        <v>0</v>
      </c>
      <c r="AD100" s="12">
        <f>IF(AND(AD99="Y", AC103="N"), $B97*Inputs!$B$12/12, 0)</f>
        <v>0</v>
      </c>
      <c r="AE100" s="12">
        <f>IF(AND(AE99="Y", AD103="N"), $B97*Inputs!$B$12/12, 0)</f>
        <v>0</v>
      </c>
      <c r="AF100" s="12">
        <f>IF(AND(AF99="Y", AE103="N"), $B97*Inputs!$B$12/12, 0)</f>
        <v>0</v>
      </c>
      <c r="AG100" s="12">
        <f>IF(AND(AG99="Y", AF103="N"), $B97*Inputs!$B$12/12, 0)</f>
        <v>0</v>
      </c>
      <c r="AH100" s="12">
        <f>IF(AND(AH99="Y", AG103="N"), $B97*Inputs!$B$12/12, 0)</f>
        <v>0</v>
      </c>
      <c r="AI100" s="12">
        <f>IF(AND(AI99="Y", AH103="N"), $B97*Inputs!$B$12/12, 0)</f>
        <v>0</v>
      </c>
      <c r="AJ100" s="12">
        <f>IF(AND(AJ99="Y", AI103="N"), $B97*Inputs!$B$12/12, 0)</f>
        <v>0</v>
      </c>
      <c r="AK100" s="12">
        <f>IF(AND(AK99="Y", AJ103="N"), $B97*Inputs!$B$12/12, 0)</f>
        <v>0</v>
      </c>
      <c r="AL100" s="12">
        <f>IF(AND(AL99="Y", AK103="N"), $B97*Inputs!$B$12/12, 0)</f>
        <v>0</v>
      </c>
      <c r="AM100" s="12">
        <f>IF(AND(AM99="Y", AL103="N"), $B97*Inputs!$B$12/12, 0)</f>
        <v>0</v>
      </c>
    </row>
    <row r="101" ht="15.75" customHeight="1">
      <c r="A101" s="3" t="s">
        <v>151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12">
        <f>IF($B97=0, 0, MIN(N98, $C97))</f>
        <v>190745.7567</v>
      </c>
      <c r="O101" s="12">
        <f t="shared" ref="O101:AM101" si="52">IF($B97=0, 0, IF(N103="Y", 0, IF(O99="N", MIN(O98, $C97-N102), MIN(O98*0.5+O100, $C97-N102))))</f>
        <v>90954.11093</v>
      </c>
      <c r="P101" s="12">
        <f t="shared" si="52"/>
        <v>58302.52477</v>
      </c>
      <c r="Q101" s="12">
        <f t="shared" si="52"/>
        <v>27497.60763</v>
      </c>
      <c r="R101" s="12">
        <f t="shared" si="52"/>
        <v>0</v>
      </c>
      <c r="S101" s="12">
        <f t="shared" si="52"/>
        <v>0</v>
      </c>
      <c r="T101" s="12">
        <f t="shared" si="52"/>
        <v>0</v>
      </c>
      <c r="U101" s="12">
        <f t="shared" si="52"/>
        <v>0</v>
      </c>
      <c r="V101" s="12">
        <f t="shared" si="52"/>
        <v>0</v>
      </c>
      <c r="W101" s="12">
        <f t="shared" si="52"/>
        <v>0</v>
      </c>
      <c r="X101" s="12">
        <f t="shared" si="52"/>
        <v>0</v>
      </c>
      <c r="Y101" s="12">
        <f t="shared" si="52"/>
        <v>0</v>
      </c>
      <c r="Z101" s="12">
        <f t="shared" si="52"/>
        <v>0</v>
      </c>
      <c r="AA101" s="12">
        <f t="shared" si="52"/>
        <v>0</v>
      </c>
      <c r="AB101" s="12">
        <f t="shared" si="52"/>
        <v>0</v>
      </c>
      <c r="AC101" s="12">
        <f t="shared" si="52"/>
        <v>0</v>
      </c>
      <c r="AD101" s="12">
        <f t="shared" si="52"/>
        <v>0</v>
      </c>
      <c r="AE101" s="12">
        <f t="shared" si="52"/>
        <v>0</v>
      </c>
      <c r="AF101" s="12">
        <f t="shared" si="52"/>
        <v>0</v>
      </c>
      <c r="AG101" s="12">
        <f t="shared" si="52"/>
        <v>0</v>
      </c>
      <c r="AH101" s="12">
        <f t="shared" si="52"/>
        <v>0</v>
      </c>
      <c r="AI101" s="12">
        <f t="shared" si="52"/>
        <v>0</v>
      </c>
      <c r="AJ101" s="12">
        <f t="shared" si="52"/>
        <v>0</v>
      </c>
      <c r="AK101" s="12">
        <f t="shared" si="52"/>
        <v>0</v>
      </c>
      <c r="AL101" s="12">
        <f t="shared" si="52"/>
        <v>0</v>
      </c>
      <c r="AM101" s="12">
        <f t="shared" si="52"/>
        <v>0</v>
      </c>
    </row>
    <row r="102" ht="15.75" customHeight="1">
      <c r="A102" s="3" t="s">
        <v>152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12">
        <f>N101</f>
        <v>190745.7567</v>
      </c>
      <c r="O102" s="12">
        <f t="shared" ref="O102:AM102" si="53">N102+O101</f>
        <v>281699.8676</v>
      </c>
      <c r="P102" s="12">
        <f t="shared" si="53"/>
        <v>340002.3924</v>
      </c>
      <c r="Q102" s="12">
        <f t="shared" si="53"/>
        <v>367500</v>
      </c>
      <c r="R102" s="12">
        <f t="shared" si="53"/>
        <v>367500</v>
      </c>
      <c r="S102" s="12">
        <f t="shared" si="53"/>
        <v>367500</v>
      </c>
      <c r="T102" s="12">
        <f t="shared" si="53"/>
        <v>367500</v>
      </c>
      <c r="U102" s="12">
        <f t="shared" si="53"/>
        <v>367500</v>
      </c>
      <c r="V102" s="12">
        <f t="shared" si="53"/>
        <v>367500</v>
      </c>
      <c r="W102" s="12">
        <f t="shared" si="53"/>
        <v>367500</v>
      </c>
      <c r="X102" s="12">
        <f t="shared" si="53"/>
        <v>367500</v>
      </c>
      <c r="Y102" s="12">
        <f t="shared" si="53"/>
        <v>367500</v>
      </c>
      <c r="Z102" s="12">
        <f t="shared" si="53"/>
        <v>367500</v>
      </c>
      <c r="AA102" s="12">
        <f t="shared" si="53"/>
        <v>367500</v>
      </c>
      <c r="AB102" s="12">
        <f t="shared" si="53"/>
        <v>367500</v>
      </c>
      <c r="AC102" s="12">
        <f t="shared" si="53"/>
        <v>367500</v>
      </c>
      <c r="AD102" s="12">
        <f t="shared" si="53"/>
        <v>367500</v>
      </c>
      <c r="AE102" s="12">
        <f t="shared" si="53"/>
        <v>367500</v>
      </c>
      <c r="AF102" s="12">
        <f t="shared" si="53"/>
        <v>367500</v>
      </c>
      <c r="AG102" s="12">
        <f t="shared" si="53"/>
        <v>367500</v>
      </c>
      <c r="AH102" s="12">
        <f t="shared" si="53"/>
        <v>367500</v>
      </c>
      <c r="AI102" s="12">
        <f t="shared" si="53"/>
        <v>367500</v>
      </c>
      <c r="AJ102" s="12">
        <f t="shared" si="53"/>
        <v>367500</v>
      </c>
      <c r="AK102" s="12">
        <f t="shared" si="53"/>
        <v>367500</v>
      </c>
      <c r="AL102" s="12">
        <f t="shared" si="53"/>
        <v>367500</v>
      </c>
      <c r="AM102" s="12">
        <f t="shared" si="53"/>
        <v>367500</v>
      </c>
    </row>
    <row r="103" ht="15.75" customHeight="1">
      <c r="A103" s="3" t="s">
        <v>153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 t="str">
        <f t="shared" ref="N103:AM103" si="54">IF(N102&gt;=$C97, "Y", "N")</f>
        <v>N</v>
      </c>
      <c r="O103" s="3" t="str">
        <f t="shared" si="54"/>
        <v>N</v>
      </c>
      <c r="P103" s="3" t="str">
        <f t="shared" si="54"/>
        <v>N</v>
      </c>
      <c r="Q103" s="3" t="str">
        <f t="shared" si="54"/>
        <v>Y</v>
      </c>
      <c r="R103" s="3" t="str">
        <f t="shared" si="54"/>
        <v>Y</v>
      </c>
      <c r="S103" s="3" t="str">
        <f t="shared" si="54"/>
        <v>Y</v>
      </c>
      <c r="T103" s="3" t="str">
        <f t="shared" si="54"/>
        <v>Y</v>
      </c>
      <c r="U103" s="3" t="str">
        <f t="shared" si="54"/>
        <v>Y</v>
      </c>
      <c r="V103" s="3" t="str">
        <f t="shared" si="54"/>
        <v>Y</v>
      </c>
      <c r="W103" s="3" t="str">
        <f t="shared" si="54"/>
        <v>Y</v>
      </c>
      <c r="X103" s="3" t="str">
        <f t="shared" si="54"/>
        <v>Y</v>
      </c>
      <c r="Y103" s="3" t="str">
        <f t="shared" si="54"/>
        <v>Y</v>
      </c>
      <c r="Z103" s="3" t="str">
        <f t="shared" si="54"/>
        <v>Y</v>
      </c>
      <c r="AA103" s="3" t="str">
        <f t="shared" si="54"/>
        <v>Y</v>
      </c>
      <c r="AB103" s="3" t="str">
        <f t="shared" si="54"/>
        <v>Y</v>
      </c>
      <c r="AC103" s="3" t="str">
        <f t="shared" si="54"/>
        <v>Y</v>
      </c>
      <c r="AD103" s="3" t="str">
        <f t="shared" si="54"/>
        <v>Y</v>
      </c>
      <c r="AE103" s="3" t="str">
        <f t="shared" si="54"/>
        <v>Y</v>
      </c>
      <c r="AF103" s="3" t="str">
        <f t="shared" si="54"/>
        <v>Y</v>
      </c>
      <c r="AG103" s="3" t="str">
        <f t="shared" si="54"/>
        <v>Y</v>
      </c>
      <c r="AH103" s="3" t="str">
        <f t="shared" si="54"/>
        <v>Y</v>
      </c>
      <c r="AI103" s="3" t="str">
        <f t="shared" si="54"/>
        <v>Y</v>
      </c>
      <c r="AJ103" s="3" t="str">
        <f t="shared" si="54"/>
        <v>Y</v>
      </c>
      <c r="AK103" s="3" t="str">
        <f t="shared" si="54"/>
        <v>Y</v>
      </c>
      <c r="AL103" s="3" t="str">
        <f t="shared" si="54"/>
        <v>Y</v>
      </c>
      <c r="AM103" s="3" t="str">
        <f t="shared" si="54"/>
        <v>Y</v>
      </c>
    </row>
    <row r="104" ht="15.75" customHeight="1">
      <c r="A104" s="3" t="s">
        <v>154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12">
        <f t="shared" ref="N104:AM104" si="55">N98-N101</f>
        <v>0</v>
      </c>
      <c r="O104" s="12">
        <f t="shared" si="55"/>
        <v>0</v>
      </c>
      <c r="P104" s="12">
        <f t="shared" si="55"/>
        <v>0</v>
      </c>
      <c r="Q104" s="12">
        <f t="shared" si="55"/>
        <v>13521.71443</v>
      </c>
      <c r="R104" s="12">
        <f t="shared" si="55"/>
        <v>24387.21</v>
      </c>
      <c r="S104" s="12">
        <f t="shared" si="55"/>
        <v>21861.3207</v>
      </c>
      <c r="T104" s="12">
        <f t="shared" si="55"/>
        <v>18880.4095</v>
      </c>
      <c r="U104" s="12">
        <f t="shared" si="55"/>
        <v>16681.89612</v>
      </c>
      <c r="V104" s="12">
        <f t="shared" si="55"/>
        <v>14912.946</v>
      </c>
      <c r="W104" s="12">
        <f t="shared" si="55"/>
        <v>17329.50325</v>
      </c>
      <c r="X104" s="12">
        <f t="shared" si="55"/>
        <v>12075</v>
      </c>
      <c r="Y104" s="12">
        <f t="shared" si="55"/>
        <v>12075</v>
      </c>
      <c r="Z104" s="12">
        <f t="shared" si="55"/>
        <v>12075</v>
      </c>
      <c r="AA104" s="12">
        <f t="shared" si="55"/>
        <v>3018.75</v>
      </c>
      <c r="AB104" s="12">
        <f t="shared" si="55"/>
        <v>3018.75</v>
      </c>
      <c r="AC104" s="12">
        <f t="shared" si="55"/>
        <v>3018.75</v>
      </c>
      <c r="AD104" s="12">
        <f t="shared" si="55"/>
        <v>3018.75</v>
      </c>
      <c r="AE104" s="12">
        <f t="shared" si="55"/>
        <v>3018.75</v>
      </c>
      <c r="AF104" s="12">
        <f t="shared" si="55"/>
        <v>3018.75</v>
      </c>
      <c r="AG104" s="12">
        <f t="shared" si="55"/>
        <v>3018.75</v>
      </c>
      <c r="AH104" s="12">
        <f t="shared" si="55"/>
        <v>3018.75</v>
      </c>
      <c r="AI104" s="12">
        <f t="shared" si="55"/>
        <v>3018.75</v>
      </c>
      <c r="AJ104" s="12">
        <f t="shared" si="55"/>
        <v>3018.75</v>
      </c>
      <c r="AK104" s="12">
        <f t="shared" si="55"/>
        <v>3018.75</v>
      </c>
      <c r="AL104" s="12">
        <f t="shared" si="55"/>
        <v>3018.75</v>
      </c>
      <c r="AM104" s="12">
        <f t="shared" si="55"/>
        <v>3018.75</v>
      </c>
    </row>
    <row r="105" ht="15.75" customHeight="1"/>
    <row r="106" ht="15.75" customHeight="1">
      <c r="A106" s="2" t="str">
        <f>Acquisition_Plan!A15</f>
        <v>2026-12-28</v>
      </c>
      <c r="B106" s="12">
        <f>Acquisition_Plan!E15</f>
        <v>350000</v>
      </c>
      <c r="C106" s="12">
        <f>B106*(1+Inputs!$B$12)</f>
        <v>367500</v>
      </c>
    </row>
    <row r="107" ht="15.75" customHeight="1">
      <c r="A107" s="3" t="s">
        <v>147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12">
        <f>$B106*Inputs!$B$15*Curves!C5*(1-Inputs!$B$16)</f>
        <v>190745.7567</v>
      </c>
      <c r="P107" s="12">
        <f>$B106*Inputs!$B$15*Curves!C6*(1-Inputs!$B$16)</f>
        <v>90954.11093</v>
      </c>
      <c r="Q107" s="12">
        <f>$B106*Inputs!$B$15*Curves!C7*(1-Inputs!$B$16)</f>
        <v>58302.52477</v>
      </c>
      <c r="R107" s="12">
        <f>$B106*Inputs!$B$15*Curves!C8*(1-Inputs!$B$16)</f>
        <v>41019.32206</v>
      </c>
      <c r="S107" s="12">
        <f>$B106*Inputs!$B$15*Curves!C9*(1-Inputs!$B$16)</f>
        <v>24387.21</v>
      </c>
      <c r="T107" s="12">
        <f>$B106*Inputs!$B$15*Curves!C10*(1-Inputs!$B$16)</f>
        <v>21861.3207</v>
      </c>
      <c r="U107" s="12">
        <f>$B106*Inputs!$B$15*Curves!C11*(1-Inputs!$B$16)</f>
        <v>18880.4095</v>
      </c>
      <c r="V107" s="12">
        <f>$B106*Inputs!$B$15*Curves!C12*(1-Inputs!$B$16)</f>
        <v>16681.89612</v>
      </c>
      <c r="W107" s="12">
        <f>$B106*Inputs!$B$15*Curves!C13*(1-Inputs!$B$16)</f>
        <v>14912.946</v>
      </c>
      <c r="X107" s="12">
        <f>$B106*Inputs!$B$15*Curves!C14*(1-Inputs!$B$16)</f>
        <v>17329.50325</v>
      </c>
      <c r="Y107" s="12">
        <f>$B106*Inputs!$B$15*Curves!C15*(1-Inputs!$B$16)</f>
        <v>12075</v>
      </c>
      <c r="Z107" s="12">
        <f>$B106*Inputs!$B$15*Curves!C16*(1-Inputs!$B$16)</f>
        <v>12075</v>
      </c>
      <c r="AA107" s="12">
        <f>$B106*Inputs!$B$15*Curves!C17*(1-Inputs!$B$16)</f>
        <v>12075</v>
      </c>
      <c r="AB107" s="12">
        <f>$B106*Inputs!$B$15*Curves!C18*(1-Inputs!$B$16)</f>
        <v>3018.75</v>
      </c>
      <c r="AC107" s="12">
        <f>$B106*Inputs!$B$15*Curves!C19*(1-Inputs!$B$16)</f>
        <v>3018.75</v>
      </c>
      <c r="AD107" s="12">
        <f>$B106*Inputs!$B$15*Curves!C20*(1-Inputs!$B$16)</f>
        <v>3018.75</v>
      </c>
      <c r="AE107" s="12">
        <f>$B106*Inputs!$B$15*Curves!C21*(1-Inputs!$B$16)</f>
        <v>3018.75</v>
      </c>
      <c r="AF107" s="12">
        <f>$B106*Inputs!$B$15*Curves!C22*(1-Inputs!$B$16)</f>
        <v>3018.75</v>
      </c>
      <c r="AG107" s="12">
        <f>$B106*Inputs!$B$15*Curves!C23*(1-Inputs!$B$16)</f>
        <v>3018.75</v>
      </c>
      <c r="AH107" s="12">
        <f>$B106*Inputs!$B$15*Curves!C24*(1-Inputs!$B$16)</f>
        <v>3018.75</v>
      </c>
      <c r="AI107" s="12">
        <f>$B106*Inputs!$B$15*Curves!C25*(1-Inputs!$B$16)</f>
        <v>3018.75</v>
      </c>
      <c r="AJ107" s="12">
        <f>$B106*Inputs!$B$15*Curves!C26*(1-Inputs!$B$16)</f>
        <v>3018.75</v>
      </c>
      <c r="AK107" s="12">
        <f>$B106*Inputs!$B$15*Curves!C27*(1-Inputs!$B$16)</f>
        <v>3018.75</v>
      </c>
      <c r="AL107" s="12">
        <f>$B106*Inputs!$B$15*Curves!C28*(1-Inputs!$B$16)</f>
        <v>3018.75</v>
      </c>
      <c r="AM107" s="12">
        <f>$B106*Inputs!$B$15*Curves!C29*(1-Inputs!$B$16)</f>
        <v>3018.75</v>
      </c>
    </row>
    <row r="108" ht="15.75" customHeight="1">
      <c r="A108" s="3" t="s">
        <v>148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 t="s">
        <v>149</v>
      </c>
      <c r="P108" s="3" t="str">
        <f t="shared" ref="P108:AM108" si="56">IF($B106=0, "N", IF(O111&gt;=$B106, "Y", "N"))</f>
        <v>N</v>
      </c>
      <c r="Q108" s="3" t="str">
        <f t="shared" si="56"/>
        <v>N</v>
      </c>
      <c r="R108" s="3" t="str">
        <f t="shared" si="56"/>
        <v>N</v>
      </c>
      <c r="S108" s="3" t="str">
        <f t="shared" si="56"/>
        <v>Y</v>
      </c>
      <c r="T108" s="3" t="str">
        <f t="shared" si="56"/>
        <v>Y</v>
      </c>
      <c r="U108" s="3" t="str">
        <f t="shared" si="56"/>
        <v>Y</v>
      </c>
      <c r="V108" s="3" t="str">
        <f t="shared" si="56"/>
        <v>Y</v>
      </c>
      <c r="W108" s="3" t="str">
        <f t="shared" si="56"/>
        <v>Y</v>
      </c>
      <c r="X108" s="3" t="str">
        <f t="shared" si="56"/>
        <v>Y</v>
      </c>
      <c r="Y108" s="3" t="str">
        <f t="shared" si="56"/>
        <v>Y</v>
      </c>
      <c r="Z108" s="3" t="str">
        <f t="shared" si="56"/>
        <v>Y</v>
      </c>
      <c r="AA108" s="3" t="str">
        <f t="shared" si="56"/>
        <v>Y</v>
      </c>
      <c r="AB108" s="3" t="str">
        <f t="shared" si="56"/>
        <v>Y</v>
      </c>
      <c r="AC108" s="3" t="str">
        <f t="shared" si="56"/>
        <v>Y</v>
      </c>
      <c r="AD108" s="3" t="str">
        <f t="shared" si="56"/>
        <v>Y</v>
      </c>
      <c r="AE108" s="3" t="str">
        <f t="shared" si="56"/>
        <v>Y</v>
      </c>
      <c r="AF108" s="3" t="str">
        <f t="shared" si="56"/>
        <v>Y</v>
      </c>
      <c r="AG108" s="3" t="str">
        <f t="shared" si="56"/>
        <v>Y</v>
      </c>
      <c r="AH108" s="3" t="str">
        <f t="shared" si="56"/>
        <v>Y</v>
      </c>
      <c r="AI108" s="3" t="str">
        <f t="shared" si="56"/>
        <v>Y</v>
      </c>
      <c r="AJ108" s="3" t="str">
        <f t="shared" si="56"/>
        <v>Y</v>
      </c>
      <c r="AK108" s="3" t="str">
        <f t="shared" si="56"/>
        <v>Y</v>
      </c>
      <c r="AL108" s="3" t="str">
        <f t="shared" si="56"/>
        <v>Y</v>
      </c>
      <c r="AM108" s="3" t="str">
        <f t="shared" si="56"/>
        <v>Y</v>
      </c>
    </row>
    <row r="109" ht="15.75" customHeight="1">
      <c r="A109" s="3" t="s">
        <v>150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12">
        <v>0.0</v>
      </c>
      <c r="P109" s="12">
        <f>IF(AND(P108="Y", O112="N"), $B106*Inputs!$B$12/12, 0)</f>
        <v>0</v>
      </c>
      <c r="Q109" s="12">
        <f>IF(AND(Q108="Y", P112="N"), $B106*Inputs!$B$12/12, 0)</f>
        <v>0</v>
      </c>
      <c r="R109" s="12">
        <f>IF(AND(R108="Y", Q112="N"), $B106*Inputs!$B$12/12, 0)</f>
        <v>0</v>
      </c>
      <c r="S109" s="12">
        <f>IF(AND(S108="Y", R112="N"), $B106*Inputs!$B$12/12, 0)</f>
        <v>0</v>
      </c>
      <c r="T109" s="12">
        <f>IF(AND(T108="Y", S112="N"), $B106*Inputs!$B$12/12, 0)</f>
        <v>0</v>
      </c>
      <c r="U109" s="12">
        <f>IF(AND(U108="Y", T112="N"), $B106*Inputs!$B$12/12, 0)</f>
        <v>0</v>
      </c>
      <c r="V109" s="12">
        <f>IF(AND(V108="Y", U112="N"), $B106*Inputs!$B$12/12, 0)</f>
        <v>0</v>
      </c>
      <c r="W109" s="12">
        <f>IF(AND(W108="Y", V112="N"), $B106*Inputs!$B$12/12, 0)</f>
        <v>0</v>
      </c>
      <c r="X109" s="12">
        <f>IF(AND(X108="Y", W112="N"), $B106*Inputs!$B$12/12, 0)</f>
        <v>0</v>
      </c>
      <c r="Y109" s="12">
        <f>IF(AND(Y108="Y", X112="N"), $B106*Inputs!$B$12/12, 0)</f>
        <v>0</v>
      </c>
      <c r="Z109" s="12">
        <f>IF(AND(Z108="Y", Y112="N"), $B106*Inputs!$B$12/12, 0)</f>
        <v>0</v>
      </c>
      <c r="AA109" s="12">
        <f>IF(AND(AA108="Y", Z112="N"), $B106*Inputs!$B$12/12, 0)</f>
        <v>0</v>
      </c>
      <c r="AB109" s="12">
        <f>IF(AND(AB108="Y", AA112="N"), $B106*Inputs!$B$12/12, 0)</f>
        <v>0</v>
      </c>
      <c r="AC109" s="12">
        <f>IF(AND(AC108="Y", AB112="N"), $B106*Inputs!$B$12/12, 0)</f>
        <v>0</v>
      </c>
      <c r="AD109" s="12">
        <f>IF(AND(AD108="Y", AC112="N"), $B106*Inputs!$B$12/12, 0)</f>
        <v>0</v>
      </c>
      <c r="AE109" s="12">
        <f>IF(AND(AE108="Y", AD112="N"), $B106*Inputs!$B$12/12, 0)</f>
        <v>0</v>
      </c>
      <c r="AF109" s="12">
        <f>IF(AND(AF108="Y", AE112="N"), $B106*Inputs!$B$12/12, 0)</f>
        <v>0</v>
      </c>
      <c r="AG109" s="12">
        <f>IF(AND(AG108="Y", AF112="N"), $B106*Inputs!$B$12/12, 0)</f>
        <v>0</v>
      </c>
      <c r="AH109" s="12">
        <f>IF(AND(AH108="Y", AG112="N"), $B106*Inputs!$B$12/12, 0)</f>
        <v>0</v>
      </c>
      <c r="AI109" s="12">
        <f>IF(AND(AI108="Y", AH112="N"), $B106*Inputs!$B$12/12, 0)</f>
        <v>0</v>
      </c>
      <c r="AJ109" s="12">
        <f>IF(AND(AJ108="Y", AI112="N"), $B106*Inputs!$B$12/12, 0)</f>
        <v>0</v>
      </c>
      <c r="AK109" s="12">
        <f>IF(AND(AK108="Y", AJ112="N"), $B106*Inputs!$B$12/12, 0)</f>
        <v>0</v>
      </c>
      <c r="AL109" s="12">
        <f>IF(AND(AL108="Y", AK112="N"), $B106*Inputs!$B$12/12, 0)</f>
        <v>0</v>
      </c>
      <c r="AM109" s="12">
        <f>IF(AND(AM108="Y", AL112="N"), $B106*Inputs!$B$12/12, 0)</f>
        <v>0</v>
      </c>
    </row>
    <row r="110" ht="15.75" customHeight="1">
      <c r="A110" s="3" t="s">
        <v>151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12">
        <f>IF($B106=0, 0, MIN(O107, $C106))</f>
        <v>190745.7567</v>
      </c>
      <c r="P110" s="12">
        <f t="shared" ref="P110:AM110" si="57">IF($B106=0, 0, IF(O112="Y", 0, IF(P108="N", MIN(P107, $C106-O111), MIN(P107*0.5+P109, $C106-O111))))</f>
        <v>90954.11093</v>
      </c>
      <c r="Q110" s="12">
        <f t="shared" si="57"/>
        <v>58302.52477</v>
      </c>
      <c r="R110" s="12">
        <f t="shared" si="57"/>
        <v>27497.60763</v>
      </c>
      <c r="S110" s="12">
        <f t="shared" si="57"/>
        <v>0</v>
      </c>
      <c r="T110" s="12">
        <f t="shared" si="57"/>
        <v>0</v>
      </c>
      <c r="U110" s="12">
        <f t="shared" si="57"/>
        <v>0</v>
      </c>
      <c r="V110" s="12">
        <f t="shared" si="57"/>
        <v>0</v>
      </c>
      <c r="W110" s="12">
        <f t="shared" si="57"/>
        <v>0</v>
      </c>
      <c r="X110" s="12">
        <f t="shared" si="57"/>
        <v>0</v>
      </c>
      <c r="Y110" s="12">
        <f t="shared" si="57"/>
        <v>0</v>
      </c>
      <c r="Z110" s="12">
        <f t="shared" si="57"/>
        <v>0</v>
      </c>
      <c r="AA110" s="12">
        <f t="shared" si="57"/>
        <v>0</v>
      </c>
      <c r="AB110" s="12">
        <f t="shared" si="57"/>
        <v>0</v>
      </c>
      <c r="AC110" s="12">
        <f t="shared" si="57"/>
        <v>0</v>
      </c>
      <c r="AD110" s="12">
        <f t="shared" si="57"/>
        <v>0</v>
      </c>
      <c r="AE110" s="12">
        <f t="shared" si="57"/>
        <v>0</v>
      </c>
      <c r="AF110" s="12">
        <f t="shared" si="57"/>
        <v>0</v>
      </c>
      <c r="AG110" s="12">
        <f t="shared" si="57"/>
        <v>0</v>
      </c>
      <c r="AH110" s="12">
        <f t="shared" si="57"/>
        <v>0</v>
      </c>
      <c r="AI110" s="12">
        <f t="shared" si="57"/>
        <v>0</v>
      </c>
      <c r="AJ110" s="12">
        <f t="shared" si="57"/>
        <v>0</v>
      </c>
      <c r="AK110" s="12">
        <f t="shared" si="57"/>
        <v>0</v>
      </c>
      <c r="AL110" s="12">
        <f t="shared" si="57"/>
        <v>0</v>
      </c>
      <c r="AM110" s="12">
        <f t="shared" si="57"/>
        <v>0</v>
      </c>
    </row>
    <row r="111" ht="15.75" customHeight="1">
      <c r="A111" s="3" t="s">
        <v>152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12">
        <f>O110</f>
        <v>190745.7567</v>
      </c>
      <c r="P111" s="12">
        <f t="shared" ref="P111:AM111" si="58">O111+P110</f>
        <v>281699.8676</v>
      </c>
      <c r="Q111" s="12">
        <f t="shared" si="58"/>
        <v>340002.3924</v>
      </c>
      <c r="R111" s="12">
        <f t="shared" si="58"/>
        <v>367500</v>
      </c>
      <c r="S111" s="12">
        <f t="shared" si="58"/>
        <v>367500</v>
      </c>
      <c r="T111" s="12">
        <f t="shared" si="58"/>
        <v>367500</v>
      </c>
      <c r="U111" s="12">
        <f t="shared" si="58"/>
        <v>367500</v>
      </c>
      <c r="V111" s="12">
        <f t="shared" si="58"/>
        <v>367500</v>
      </c>
      <c r="W111" s="12">
        <f t="shared" si="58"/>
        <v>367500</v>
      </c>
      <c r="X111" s="12">
        <f t="shared" si="58"/>
        <v>367500</v>
      </c>
      <c r="Y111" s="12">
        <f t="shared" si="58"/>
        <v>367500</v>
      </c>
      <c r="Z111" s="12">
        <f t="shared" si="58"/>
        <v>367500</v>
      </c>
      <c r="AA111" s="12">
        <f t="shared" si="58"/>
        <v>367500</v>
      </c>
      <c r="AB111" s="12">
        <f t="shared" si="58"/>
        <v>367500</v>
      </c>
      <c r="AC111" s="12">
        <f t="shared" si="58"/>
        <v>367500</v>
      </c>
      <c r="AD111" s="12">
        <f t="shared" si="58"/>
        <v>367500</v>
      </c>
      <c r="AE111" s="12">
        <f t="shared" si="58"/>
        <v>367500</v>
      </c>
      <c r="AF111" s="12">
        <f t="shared" si="58"/>
        <v>367500</v>
      </c>
      <c r="AG111" s="12">
        <f t="shared" si="58"/>
        <v>367500</v>
      </c>
      <c r="AH111" s="12">
        <f t="shared" si="58"/>
        <v>367500</v>
      </c>
      <c r="AI111" s="12">
        <f t="shared" si="58"/>
        <v>367500</v>
      </c>
      <c r="AJ111" s="12">
        <f t="shared" si="58"/>
        <v>367500</v>
      </c>
      <c r="AK111" s="12">
        <f t="shared" si="58"/>
        <v>367500</v>
      </c>
      <c r="AL111" s="12">
        <f t="shared" si="58"/>
        <v>367500</v>
      </c>
      <c r="AM111" s="12">
        <f t="shared" si="58"/>
        <v>367500</v>
      </c>
    </row>
    <row r="112" ht="15.75" customHeight="1">
      <c r="A112" s="3" t="s">
        <v>153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 t="str">
        <f t="shared" ref="O112:AM112" si="59">IF(O111&gt;=$C106, "Y", "N")</f>
        <v>N</v>
      </c>
      <c r="P112" s="3" t="str">
        <f t="shared" si="59"/>
        <v>N</v>
      </c>
      <c r="Q112" s="3" t="str">
        <f t="shared" si="59"/>
        <v>N</v>
      </c>
      <c r="R112" s="3" t="str">
        <f t="shared" si="59"/>
        <v>Y</v>
      </c>
      <c r="S112" s="3" t="str">
        <f t="shared" si="59"/>
        <v>Y</v>
      </c>
      <c r="T112" s="3" t="str">
        <f t="shared" si="59"/>
        <v>Y</v>
      </c>
      <c r="U112" s="3" t="str">
        <f t="shared" si="59"/>
        <v>Y</v>
      </c>
      <c r="V112" s="3" t="str">
        <f t="shared" si="59"/>
        <v>Y</v>
      </c>
      <c r="W112" s="3" t="str">
        <f t="shared" si="59"/>
        <v>Y</v>
      </c>
      <c r="X112" s="3" t="str">
        <f t="shared" si="59"/>
        <v>Y</v>
      </c>
      <c r="Y112" s="3" t="str">
        <f t="shared" si="59"/>
        <v>Y</v>
      </c>
      <c r="Z112" s="3" t="str">
        <f t="shared" si="59"/>
        <v>Y</v>
      </c>
      <c r="AA112" s="3" t="str">
        <f t="shared" si="59"/>
        <v>Y</v>
      </c>
      <c r="AB112" s="3" t="str">
        <f t="shared" si="59"/>
        <v>Y</v>
      </c>
      <c r="AC112" s="3" t="str">
        <f t="shared" si="59"/>
        <v>Y</v>
      </c>
      <c r="AD112" s="3" t="str">
        <f t="shared" si="59"/>
        <v>Y</v>
      </c>
      <c r="AE112" s="3" t="str">
        <f t="shared" si="59"/>
        <v>Y</v>
      </c>
      <c r="AF112" s="3" t="str">
        <f t="shared" si="59"/>
        <v>Y</v>
      </c>
      <c r="AG112" s="3" t="str">
        <f t="shared" si="59"/>
        <v>Y</v>
      </c>
      <c r="AH112" s="3" t="str">
        <f t="shared" si="59"/>
        <v>Y</v>
      </c>
      <c r="AI112" s="3" t="str">
        <f t="shared" si="59"/>
        <v>Y</v>
      </c>
      <c r="AJ112" s="3" t="str">
        <f t="shared" si="59"/>
        <v>Y</v>
      </c>
      <c r="AK112" s="3" t="str">
        <f t="shared" si="59"/>
        <v>Y</v>
      </c>
      <c r="AL112" s="3" t="str">
        <f t="shared" si="59"/>
        <v>Y</v>
      </c>
      <c r="AM112" s="3" t="str">
        <f t="shared" si="59"/>
        <v>Y</v>
      </c>
    </row>
    <row r="113" ht="15.75" customHeight="1">
      <c r="A113" s="3" t="s">
        <v>154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12">
        <f t="shared" ref="O113:AM113" si="60">O107-O110</f>
        <v>0</v>
      </c>
      <c r="P113" s="12">
        <f t="shared" si="60"/>
        <v>0</v>
      </c>
      <c r="Q113" s="12">
        <f t="shared" si="60"/>
        <v>0</v>
      </c>
      <c r="R113" s="12">
        <f t="shared" si="60"/>
        <v>13521.71443</v>
      </c>
      <c r="S113" s="12">
        <f t="shared" si="60"/>
        <v>24387.21</v>
      </c>
      <c r="T113" s="12">
        <f t="shared" si="60"/>
        <v>21861.3207</v>
      </c>
      <c r="U113" s="12">
        <f t="shared" si="60"/>
        <v>18880.4095</v>
      </c>
      <c r="V113" s="12">
        <f t="shared" si="60"/>
        <v>16681.89612</v>
      </c>
      <c r="W113" s="12">
        <f t="shared" si="60"/>
        <v>14912.946</v>
      </c>
      <c r="X113" s="12">
        <f t="shared" si="60"/>
        <v>17329.50325</v>
      </c>
      <c r="Y113" s="12">
        <f t="shared" si="60"/>
        <v>12075</v>
      </c>
      <c r="Z113" s="12">
        <f t="shared" si="60"/>
        <v>12075</v>
      </c>
      <c r="AA113" s="12">
        <f t="shared" si="60"/>
        <v>12075</v>
      </c>
      <c r="AB113" s="12">
        <f t="shared" si="60"/>
        <v>3018.75</v>
      </c>
      <c r="AC113" s="12">
        <f t="shared" si="60"/>
        <v>3018.75</v>
      </c>
      <c r="AD113" s="12">
        <f t="shared" si="60"/>
        <v>3018.75</v>
      </c>
      <c r="AE113" s="12">
        <f t="shared" si="60"/>
        <v>3018.75</v>
      </c>
      <c r="AF113" s="12">
        <f t="shared" si="60"/>
        <v>3018.75</v>
      </c>
      <c r="AG113" s="12">
        <f t="shared" si="60"/>
        <v>3018.75</v>
      </c>
      <c r="AH113" s="12">
        <f t="shared" si="60"/>
        <v>3018.75</v>
      </c>
      <c r="AI113" s="12">
        <f t="shared" si="60"/>
        <v>3018.75</v>
      </c>
      <c r="AJ113" s="12">
        <f t="shared" si="60"/>
        <v>3018.75</v>
      </c>
      <c r="AK113" s="12">
        <f t="shared" si="60"/>
        <v>3018.75</v>
      </c>
      <c r="AL113" s="12">
        <f t="shared" si="60"/>
        <v>3018.75</v>
      </c>
      <c r="AM113" s="12">
        <f t="shared" si="60"/>
        <v>3018.75</v>
      </c>
    </row>
    <row r="114" ht="15.75" customHeight="1"/>
    <row r="115" ht="15.75" customHeight="1">
      <c r="A115" s="2" t="str">
        <f>Acquisition_Plan!A16</f>
        <v>2027-01-27</v>
      </c>
      <c r="B115" s="12">
        <f>Acquisition_Plan!E16</f>
        <v>400000</v>
      </c>
      <c r="C115" s="12">
        <f>B115*(1+Inputs!$B$12)</f>
        <v>420000</v>
      </c>
    </row>
    <row r="116" ht="15.75" customHeight="1">
      <c r="A116" s="3" t="s">
        <v>147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12">
        <f>$B115*Inputs!$B$15*Curves!C5*(1-Inputs!$B$16)</f>
        <v>217995.1505</v>
      </c>
      <c r="Q116" s="12">
        <f>$B115*Inputs!$B$15*Curves!C6*(1-Inputs!$B$16)</f>
        <v>103947.5553</v>
      </c>
      <c r="R116" s="12">
        <f>$B115*Inputs!$B$15*Curves!C7*(1-Inputs!$B$16)</f>
        <v>66631.45688</v>
      </c>
      <c r="S116" s="12">
        <f>$B115*Inputs!$B$15*Curves!C8*(1-Inputs!$B$16)</f>
        <v>46879.22521</v>
      </c>
      <c r="T116" s="12">
        <f>$B115*Inputs!$B$15*Curves!C9*(1-Inputs!$B$16)</f>
        <v>27871.09714</v>
      </c>
      <c r="U116" s="12">
        <f>$B115*Inputs!$B$15*Curves!C10*(1-Inputs!$B$16)</f>
        <v>24984.36651</v>
      </c>
      <c r="V116" s="12">
        <f>$B115*Inputs!$B$15*Curves!C11*(1-Inputs!$B$16)</f>
        <v>21577.61086</v>
      </c>
      <c r="W116" s="12">
        <f>$B115*Inputs!$B$15*Curves!C12*(1-Inputs!$B$16)</f>
        <v>19065.02414</v>
      </c>
      <c r="X116" s="12">
        <f>$B115*Inputs!$B$15*Curves!C13*(1-Inputs!$B$16)</f>
        <v>17043.36685</v>
      </c>
      <c r="Y116" s="12">
        <f>$B115*Inputs!$B$15*Curves!C14*(1-Inputs!$B$16)</f>
        <v>19805.14658</v>
      </c>
      <c r="Z116" s="12">
        <f>$B115*Inputs!$B$15*Curves!C15*(1-Inputs!$B$16)</f>
        <v>13800</v>
      </c>
      <c r="AA116" s="12">
        <f>$B115*Inputs!$B$15*Curves!C16*(1-Inputs!$B$16)</f>
        <v>13800</v>
      </c>
      <c r="AB116" s="12">
        <f>$B115*Inputs!$B$15*Curves!C17*(1-Inputs!$B$16)</f>
        <v>13800</v>
      </c>
      <c r="AC116" s="12">
        <f>$B115*Inputs!$B$15*Curves!C18*(1-Inputs!$B$16)</f>
        <v>3450</v>
      </c>
      <c r="AD116" s="12">
        <f>$B115*Inputs!$B$15*Curves!C19*(1-Inputs!$B$16)</f>
        <v>3450</v>
      </c>
      <c r="AE116" s="12">
        <f>$B115*Inputs!$B$15*Curves!C20*(1-Inputs!$B$16)</f>
        <v>3450</v>
      </c>
      <c r="AF116" s="12">
        <f>$B115*Inputs!$B$15*Curves!C21*(1-Inputs!$B$16)</f>
        <v>3450</v>
      </c>
      <c r="AG116" s="12">
        <f>$B115*Inputs!$B$15*Curves!C22*(1-Inputs!$B$16)</f>
        <v>3450</v>
      </c>
      <c r="AH116" s="12">
        <f>$B115*Inputs!$B$15*Curves!C23*(1-Inputs!$B$16)</f>
        <v>3450</v>
      </c>
      <c r="AI116" s="12">
        <f>$B115*Inputs!$B$15*Curves!C24*(1-Inputs!$B$16)</f>
        <v>3450</v>
      </c>
      <c r="AJ116" s="12">
        <f>$B115*Inputs!$B$15*Curves!C25*(1-Inputs!$B$16)</f>
        <v>3450</v>
      </c>
      <c r="AK116" s="12">
        <f>$B115*Inputs!$B$15*Curves!C26*(1-Inputs!$B$16)</f>
        <v>3450</v>
      </c>
      <c r="AL116" s="12">
        <f>$B115*Inputs!$B$15*Curves!C27*(1-Inputs!$B$16)</f>
        <v>3450</v>
      </c>
      <c r="AM116" s="12">
        <f>$B115*Inputs!$B$15*Curves!C28*(1-Inputs!$B$16)</f>
        <v>3450</v>
      </c>
    </row>
    <row r="117" ht="15.75" customHeight="1">
      <c r="A117" s="3" t="s">
        <v>148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 t="s">
        <v>149</v>
      </c>
      <c r="Q117" s="3" t="str">
        <f t="shared" ref="Q117:AM117" si="61">IF($B115=0, "N", IF(P120&gt;=$B115, "Y", "N"))</f>
        <v>N</v>
      </c>
      <c r="R117" s="3" t="str">
        <f t="shared" si="61"/>
        <v>N</v>
      </c>
      <c r="S117" s="3" t="str">
        <f t="shared" si="61"/>
        <v>N</v>
      </c>
      <c r="T117" s="3" t="str">
        <f t="shared" si="61"/>
        <v>Y</v>
      </c>
      <c r="U117" s="3" t="str">
        <f t="shared" si="61"/>
        <v>Y</v>
      </c>
      <c r="V117" s="3" t="str">
        <f t="shared" si="61"/>
        <v>Y</v>
      </c>
      <c r="W117" s="3" t="str">
        <f t="shared" si="61"/>
        <v>Y</v>
      </c>
      <c r="X117" s="3" t="str">
        <f t="shared" si="61"/>
        <v>Y</v>
      </c>
      <c r="Y117" s="3" t="str">
        <f t="shared" si="61"/>
        <v>Y</v>
      </c>
      <c r="Z117" s="3" t="str">
        <f t="shared" si="61"/>
        <v>Y</v>
      </c>
      <c r="AA117" s="3" t="str">
        <f t="shared" si="61"/>
        <v>Y</v>
      </c>
      <c r="AB117" s="3" t="str">
        <f t="shared" si="61"/>
        <v>Y</v>
      </c>
      <c r="AC117" s="3" t="str">
        <f t="shared" si="61"/>
        <v>Y</v>
      </c>
      <c r="AD117" s="3" t="str">
        <f t="shared" si="61"/>
        <v>Y</v>
      </c>
      <c r="AE117" s="3" t="str">
        <f t="shared" si="61"/>
        <v>Y</v>
      </c>
      <c r="AF117" s="3" t="str">
        <f t="shared" si="61"/>
        <v>Y</v>
      </c>
      <c r="AG117" s="3" t="str">
        <f t="shared" si="61"/>
        <v>Y</v>
      </c>
      <c r="AH117" s="3" t="str">
        <f t="shared" si="61"/>
        <v>Y</v>
      </c>
      <c r="AI117" s="3" t="str">
        <f t="shared" si="61"/>
        <v>Y</v>
      </c>
      <c r="AJ117" s="3" t="str">
        <f t="shared" si="61"/>
        <v>Y</v>
      </c>
      <c r="AK117" s="3" t="str">
        <f t="shared" si="61"/>
        <v>Y</v>
      </c>
      <c r="AL117" s="3" t="str">
        <f t="shared" si="61"/>
        <v>Y</v>
      </c>
      <c r="AM117" s="3" t="str">
        <f t="shared" si="61"/>
        <v>Y</v>
      </c>
    </row>
    <row r="118" ht="15.75" customHeight="1">
      <c r="A118" s="3" t="s">
        <v>150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12">
        <v>0.0</v>
      </c>
      <c r="Q118" s="12">
        <f>IF(AND(Q117="Y", P121="N"), $B115*Inputs!$B$12/12, 0)</f>
        <v>0</v>
      </c>
      <c r="R118" s="12">
        <f>IF(AND(R117="Y", Q121="N"), $B115*Inputs!$B$12/12, 0)</f>
        <v>0</v>
      </c>
      <c r="S118" s="12">
        <f>IF(AND(S117="Y", R121="N"), $B115*Inputs!$B$12/12, 0)</f>
        <v>0</v>
      </c>
      <c r="T118" s="12">
        <f>IF(AND(T117="Y", S121="N"), $B115*Inputs!$B$12/12, 0)</f>
        <v>0</v>
      </c>
      <c r="U118" s="12">
        <f>IF(AND(U117="Y", T121="N"), $B115*Inputs!$B$12/12, 0)</f>
        <v>0</v>
      </c>
      <c r="V118" s="12">
        <f>IF(AND(V117="Y", U121="N"), $B115*Inputs!$B$12/12, 0)</f>
        <v>0</v>
      </c>
      <c r="W118" s="12">
        <f>IF(AND(W117="Y", V121="N"), $B115*Inputs!$B$12/12, 0)</f>
        <v>0</v>
      </c>
      <c r="X118" s="12">
        <f>IF(AND(X117="Y", W121="N"), $B115*Inputs!$B$12/12, 0)</f>
        <v>0</v>
      </c>
      <c r="Y118" s="12">
        <f>IF(AND(Y117="Y", X121="N"), $B115*Inputs!$B$12/12, 0)</f>
        <v>0</v>
      </c>
      <c r="Z118" s="12">
        <f>IF(AND(Z117="Y", Y121="N"), $B115*Inputs!$B$12/12, 0)</f>
        <v>0</v>
      </c>
      <c r="AA118" s="12">
        <f>IF(AND(AA117="Y", Z121="N"), $B115*Inputs!$B$12/12, 0)</f>
        <v>0</v>
      </c>
      <c r="AB118" s="12">
        <f>IF(AND(AB117="Y", AA121="N"), $B115*Inputs!$B$12/12, 0)</f>
        <v>0</v>
      </c>
      <c r="AC118" s="12">
        <f>IF(AND(AC117="Y", AB121="N"), $B115*Inputs!$B$12/12, 0)</f>
        <v>0</v>
      </c>
      <c r="AD118" s="12">
        <f>IF(AND(AD117="Y", AC121="N"), $B115*Inputs!$B$12/12, 0)</f>
        <v>0</v>
      </c>
      <c r="AE118" s="12">
        <f>IF(AND(AE117="Y", AD121="N"), $B115*Inputs!$B$12/12, 0)</f>
        <v>0</v>
      </c>
      <c r="AF118" s="12">
        <f>IF(AND(AF117="Y", AE121="N"), $B115*Inputs!$B$12/12, 0)</f>
        <v>0</v>
      </c>
      <c r="AG118" s="12">
        <f>IF(AND(AG117="Y", AF121="N"), $B115*Inputs!$B$12/12, 0)</f>
        <v>0</v>
      </c>
      <c r="AH118" s="12">
        <f>IF(AND(AH117="Y", AG121="N"), $B115*Inputs!$B$12/12, 0)</f>
        <v>0</v>
      </c>
      <c r="AI118" s="12">
        <f>IF(AND(AI117="Y", AH121="N"), $B115*Inputs!$B$12/12, 0)</f>
        <v>0</v>
      </c>
      <c r="AJ118" s="12">
        <f>IF(AND(AJ117="Y", AI121="N"), $B115*Inputs!$B$12/12, 0)</f>
        <v>0</v>
      </c>
      <c r="AK118" s="12">
        <f>IF(AND(AK117="Y", AJ121="N"), $B115*Inputs!$B$12/12, 0)</f>
        <v>0</v>
      </c>
      <c r="AL118" s="12">
        <f>IF(AND(AL117="Y", AK121="N"), $B115*Inputs!$B$12/12, 0)</f>
        <v>0</v>
      </c>
      <c r="AM118" s="12">
        <f>IF(AND(AM117="Y", AL121="N"), $B115*Inputs!$B$12/12, 0)</f>
        <v>0</v>
      </c>
    </row>
    <row r="119" ht="15.75" customHeight="1">
      <c r="A119" s="3" t="s">
        <v>151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12">
        <f>IF($B115=0, 0, MIN(P116, $C115))</f>
        <v>217995.1505</v>
      </c>
      <c r="Q119" s="12">
        <f t="shared" ref="Q119:AM119" si="62">IF($B115=0, 0, IF(P121="Y", 0, IF(Q117="N", MIN(Q116, $C115-P120), MIN(Q116*0.5+Q118, $C115-P120))))</f>
        <v>103947.5553</v>
      </c>
      <c r="R119" s="12">
        <f t="shared" si="62"/>
        <v>66631.45688</v>
      </c>
      <c r="S119" s="12">
        <f t="shared" si="62"/>
        <v>31425.83729</v>
      </c>
      <c r="T119" s="12">
        <f t="shared" si="62"/>
        <v>0</v>
      </c>
      <c r="U119" s="12">
        <f t="shared" si="62"/>
        <v>0</v>
      </c>
      <c r="V119" s="12">
        <f t="shared" si="62"/>
        <v>0</v>
      </c>
      <c r="W119" s="12">
        <f t="shared" si="62"/>
        <v>0</v>
      </c>
      <c r="X119" s="12">
        <f t="shared" si="62"/>
        <v>0</v>
      </c>
      <c r="Y119" s="12">
        <f t="shared" si="62"/>
        <v>0</v>
      </c>
      <c r="Z119" s="12">
        <f t="shared" si="62"/>
        <v>0</v>
      </c>
      <c r="AA119" s="12">
        <f t="shared" si="62"/>
        <v>0</v>
      </c>
      <c r="AB119" s="12">
        <f t="shared" si="62"/>
        <v>0</v>
      </c>
      <c r="AC119" s="12">
        <f t="shared" si="62"/>
        <v>0</v>
      </c>
      <c r="AD119" s="12">
        <f t="shared" si="62"/>
        <v>0</v>
      </c>
      <c r="AE119" s="12">
        <f t="shared" si="62"/>
        <v>0</v>
      </c>
      <c r="AF119" s="12">
        <f t="shared" si="62"/>
        <v>0</v>
      </c>
      <c r="AG119" s="12">
        <f t="shared" si="62"/>
        <v>0</v>
      </c>
      <c r="AH119" s="12">
        <f t="shared" si="62"/>
        <v>0</v>
      </c>
      <c r="AI119" s="12">
        <f t="shared" si="62"/>
        <v>0</v>
      </c>
      <c r="AJ119" s="12">
        <f t="shared" si="62"/>
        <v>0</v>
      </c>
      <c r="AK119" s="12">
        <f t="shared" si="62"/>
        <v>0</v>
      </c>
      <c r="AL119" s="12">
        <f t="shared" si="62"/>
        <v>0</v>
      </c>
      <c r="AM119" s="12">
        <f t="shared" si="62"/>
        <v>0</v>
      </c>
    </row>
    <row r="120" ht="15.75" customHeight="1">
      <c r="A120" s="3" t="s">
        <v>152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12">
        <f>P119</f>
        <v>217995.1505</v>
      </c>
      <c r="Q120" s="12">
        <f t="shared" ref="Q120:AM120" si="63">P120+Q119</f>
        <v>321942.7058</v>
      </c>
      <c r="R120" s="12">
        <f t="shared" si="63"/>
        <v>388574.1627</v>
      </c>
      <c r="S120" s="12">
        <f t="shared" si="63"/>
        <v>420000</v>
      </c>
      <c r="T120" s="12">
        <f t="shared" si="63"/>
        <v>420000</v>
      </c>
      <c r="U120" s="12">
        <f t="shared" si="63"/>
        <v>420000</v>
      </c>
      <c r="V120" s="12">
        <f t="shared" si="63"/>
        <v>420000</v>
      </c>
      <c r="W120" s="12">
        <f t="shared" si="63"/>
        <v>420000</v>
      </c>
      <c r="X120" s="12">
        <f t="shared" si="63"/>
        <v>420000</v>
      </c>
      <c r="Y120" s="12">
        <f t="shared" si="63"/>
        <v>420000</v>
      </c>
      <c r="Z120" s="12">
        <f t="shared" si="63"/>
        <v>420000</v>
      </c>
      <c r="AA120" s="12">
        <f t="shared" si="63"/>
        <v>420000</v>
      </c>
      <c r="AB120" s="12">
        <f t="shared" si="63"/>
        <v>420000</v>
      </c>
      <c r="AC120" s="12">
        <f t="shared" si="63"/>
        <v>420000</v>
      </c>
      <c r="AD120" s="12">
        <f t="shared" si="63"/>
        <v>420000</v>
      </c>
      <c r="AE120" s="12">
        <f t="shared" si="63"/>
        <v>420000</v>
      </c>
      <c r="AF120" s="12">
        <f t="shared" si="63"/>
        <v>420000</v>
      </c>
      <c r="AG120" s="12">
        <f t="shared" si="63"/>
        <v>420000</v>
      </c>
      <c r="AH120" s="12">
        <f t="shared" si="63"/>
        <v>420000</v>
      </c>
      <c r="AI120" s="12">
        <f t="shared" si="63"/>
        <v>420000</v>
      </c>
      <c r="AJ120" s="12">
        <f t="shared" si="63"/>
        <v>420000</v>
      </c>
      <c r="AK120" s="12">
        <f t="shared" si="63"/>
        <v>420000</v>
      </c>
      <c r="AL120" s="12">
        <f t="shared" si="63"/>
        <v>420000</v>
      </c>
      <c r="AM120" s="12">
        <f t="shared" si="63"/>
        <v>420000</v>
      </c>
    </row>
    <row r="121" ht="15.75" customHeight="1">
      <c r="A121" s="3" t="s">
        <v>153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 t="str">
        <f t="shared" ref="P121:AM121" si="64">IF(P120&gt;=$C115, "Y", "N")</f>
        <v>N</v>
      </c>
      <c r="Q121" s="3" t="str">
        <f t="shared" si="64"/>
        <v>N</v>
      </c>
      <c r="R121" s="3" t="str">
        <f t="shared" si="64"/>
        <v>N</v>
      </c>
      <c r="S121" s="3" t="str">
        <f t="shared" si="64"/>
        <v>Y</v>
      </c>
      <c r="T121" s="3" t="str">
        <f t="shared" si="64"/>
        <v>Y</v>
      </c>
      <c r="U121" s="3" t="str">
        <f t="shared" si="64"/>
        <v>Y</v>
      </c>
      <c r="V121" s="3" t="str">
        <f t="shared" si="64"/>
        <v>Y</v>
      </c>
      <c r="W121" s="3" t="str">
        <f t="shared" si="64"/>
        <v>Y</v>
      </c>
      <c r="X121" s="3" t="str">
        <f t="shared" si="64"/>
        <v>Y</v>
      </c>
      <c r="Y121" s="3" t="str">
        <f t="shared" si="64"/>
        <v>Y</v>
      </c>
      <c r="Z121" s="3" t="str">
        <f t="shared" si="64"/>
        <v>Y</v>
      </c>
      <c r="AA121" s="3" t="str">
        <f t="shared" si="64"/>
        <v>Y</v>
      </c>
      <c r="AB121" s="3" t="str">
        <f t="shared" si="64"/>
        <v>Y</v>
      </c>
      <c r="AC121" s="3" t="str">
        <f t="shared" si="64"/>
        <v>Y</v>
      </c>
      <c r="AD121" s="3" t="str">
        <f t="shared" si="64"/>
        <v>Y</v>
      </c>
      <c r="AE121" s="3" t="str">
        <f t="shared" si="64"/>
        <v>Y</v>
      </c>
      <c r="AF121" s="3" t="str">
        <f t="shared" si="64"/>
        <v>Y</v>
      </c>
      <c r="AG121" s="3" t="str">
        <f t="shared" si="64"/>
        <v>Y</v>
      </c>
      <c r="AH121" s="3" t="str">
        <f t="shared" si="64"/>
        <v>Y</v>
      </c>
      <c r="AI121" s="3" t="str">
        <f t="shared" si="64"/>
        <v>Y</v>
      </c>
      <c r="AJ121" s="3" t="str">
        <f t="shared" si="64"/>
        <v>Y</v>
      </c>
      <c r="AK121" s="3" t="str">
        <f t="shared" si="64"/>
        <v>Y</v>
      </c>
      <c r="AL121" s="3" t="str">
        <f t="shared" si="64"/>
        <v>Y</v>
      </c>
      <c r="AM121" s="3" t="str">
        <f t="shared" si="64"/>
        <v>Y</v>
      </c>
    </row>
    <row r="122" ht="15.75" customHeight="1">
      <c r="A122" s="3" t="s">
        <v>154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12">
        <f t="shared" ref="P122:AM122" si="65">P116-P119</f>
        <v>0</v>
      </c>
      <c r="Q122" s="12">
        <f t="shared" si="65"/>
        <v>0</v>
      </c>
      <c r="R122" s="12">
        <f t="shared" si="65"/>
        <v>0</v>
      </c>
      <c r="S122" s="12">
        <f t="shared" si="65"/>
        <v>15453.38792</v>
      </c>
      <c r="T122" s="12">
        <f t="shared" si="65"/>
        <v>27871.09714</v>
      </c>
      <c r="U122" s="12">
        <f t="shared" si="65"/>
        <v>24984.36651</v>
      </c>
      <c r="V122" s="12">
        <f t="shared" si="65"/>
        <v>21577.61086</v>
      </c>
      <c r="W122" s="12">
        <f t="shared" si="65"/>
        <v>19065.02414</v>
      </c>
      <c r="X122" s="12">
        <f t="shared" si="65"/>
        <v>17043.36685</v>
      </c>
      <c r="Y122" s="12">
        <f t="shared" si="65"/>
        <v>19805.14658</v>
      </c>
      <c r="Z122" s="12">
        <f t="shared" si="65"/>
        <v>13800</v>
      </c>
      <c r="AA122" s="12">
        <f t="shared" si="65"/>
        <v>13800</v>
      </c>
      <c r="AB122" s="12">
        <f t="shared" si="65"/>
        <v>13800</v>
      </c>
      <c r="AC122" s="12">
        <f t="shared" si="65"/>
        <v>3450</v>
      </c>
      <c r="AD122" s="12">
        <f t="shared" si="65"/>
        <v>3450</v>
      </c>
      <c r="AE122" s="12">
        <f t="shared" si="65"/>
        <v>3450</v>
      </c>
      <c r="AF122" s="12">
        <f t="shared" si="65"/>
        <v>3450</v>
      </c>
      <c r="AG122" s="12">
        <f t="shared" si="65"/>
        <v>3450</v>
      </c>
      <c r="AH122" s="12">
        <f t="shared" si="65"/>
        <v>3450</v>
      </c>
      <c r="AI122" s="12">
        <f t="shared" si="65"/>
        <v>3450</v>
      </c>
      <c r="AJ122" s="12">
        <f t="shared" si="65"/>
        <v>3450</v>
      </c>
      <c r="AK122" s="12">
        <f t="shared" si="65"/>
        <v>3450</v>
      </c>
      <c r="AL122" s="12">
        <f t="shared" si="65"/>
        <v>3450</v>
      </c>
      <c r="AM122" s="12">
        <f t="shared" si="65"/>
        <v>3450</v>
      </c>
    </row>
    <row r="123" ht="15.75" customHeight="1"/>
    <row r="124" ht="15.75" customHeight="1">
      <c r="A124" s="2" t="str">
        <f>Acquisition_Plan!A17</f>
        <v>2027-02-26</v>
      </c>
      <c r="B124" s="12">
        <f>Acquisition_Plan!E17</f>
        <v>400000</v>
      </c>
      <c r="C124" s="12">
        <f>B124*(1+Inputs!$B$12)</f>
        <v>420000</v>
      </c>
    </row>
    <row r="125" ht="15.75" customHeight="1">
      <c r="A125" s="3" t="s">
        <v>147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12">
        <f>$B124*Inputs!$B$15*Curves!C5*(1-Inputs!$B$16)</f>
        <v>217995.1505</v>
      </c>
      <c r="R125" s="12">
        <f>$B124*Inputs!$B$15*Curves!C6*(1-Inputs!$B$16)</f>
        <v>103947.5553</v>
      </c>
      <c r="S125" s="12">
        <f>$B124*Inputs!$B$15*Curves!C7*(1-Inputs!$B$16)</f>
        <v>66631.45688</v>
      </c>
      <c r="T125" s="12">
        <f>$B124*Inputs!$B$15*Curves!C8*(1-Inputs!$B$16)</f>
        <v>46879.22521</v>
      </c>
      <c r="U125" s="12">
        <f>$B124*Inputs!$B$15*Curves!C9*(1-Inputs!$B$16)</f>
        <v>27871.09714</v>
      </c>
      <c r="V125" s="12">
        <f>$B124*Inputs!$B$15*Curves!C10*(1-Inputs!$B$16)</f>
        <v>24984.36651</v>
      </c>
      <c r="W125" s="12">
        <f>$B124*Inputs!$B$15*Curves!C11*(1-Inputs!$B$16)</f>
        <v>21577.61086</v>
      </c>
      <c r="X125" s="12">
        <f>$B124*Inputs!$B$15*Curves!C12*(1-Inputs!$B$16)</f>
        <v>19065.02414</v>
      </c>
      <c r="Y125" s="12">
        <f>$B124*Inputs!$B$15*Curves!C13*(1-Inputs!$B$16)</f>
        <v>17043.36685</v>
      </c>
      <c r="Z125" s="12">
        <f>$B124*Inputs!$B$15*Curves!C14*(1-Inputs!$B$16)</f>
        <v>19805.14658</v>
      </c>
      <c r="AA125" s="12">
        <f>$B124*Inputs!$B$15*Curves!C15*(1-Inputs!$B$16)</f>
        <v>13800</v>
      </c>
      <c r="AB125" s="12">
        <f>$B124*Inputs!$B$15*Curves!C16*(1-Inputs!$B$16)</f>
        <v>13800</v>
      </c>
      <c r="AC125" s="12">
        <f>$B124*Inputs!$B$15*Curves!C17*(1-Inputs!$B$16)</f>
        <v>13800</v>
      </c>
      <c r="AD125" s="12">
        <f>$B124*Inputs!$B$15*Curves!C18*(1-Inputs!$B$16)</f>
        <v>3450</v>
      </c>
      <c r="AE125" s="12">
        <f>$B124*Inputs!$B$15*Curves!C19*(1-Inputs!$B$16)</f>
        <v>3450</v>
      </c>
      <c r="AF125" s="12">
        <f>$B124*Inputs!$B$15*Curves!C20*(1-Inputs!$B$16)</f>
        <v>3450</v>
      </c>
      <c r="AG125" s="12">
        <f>$B124*Inputs!$B$15*Curves!C21*(1-Inputs!$B$16)</f>
        <v>3450</v>
      </c>
      <c r="AH125" s="12">
        <f>$B124*Inputs!$B$15*Curves!C22*(1-Inputs!$B$16)</f>
        <v>3450</v>
      </c>
      <c r="AI125" s="12">
        <f>$B124*Inputs!$B$15*Curves!C23*(1-Inputs!$B$16)</f>
        <v>3450</v>
      </c>
      <c r="AJ125" s="12">
        <f>$B124*Inputs!$B$15*Curves!C24*(1-Inputs!$B$16)</f>
        <v>3450</v>
      </c>
      <c r="AK125" s="12">
        <f>$B124*Inputs!$B$15*Curves!C25*(1-Inputs!$B$16)</f>
        <v>3450</v>
      </c>
      <c r="AL125" s="12">
        <f>$B124*Inputs!$B$15*Curves!C26*(1-Inputs!$B$16)</f>
        <v>3450</v>
      </c>
      <c r="AM125" s="12">
        <f>$B124*Inputs!$B$15*Curves!C27*(1-Inputs!$B$16)</f>
        <v>3450</v>
      </c>
    </row>
    <row r="126" ht="15.75" customHeight="1">
      <c r="A126" s="3" t="s">
        <v>148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 t="s">
        <v>149</v>
      </c>
      <c r="R126" s="3" t="str">
        <f t="shared" ref="R126:AM126" si="66">IF($B124=0, "N", IF(Q129&gt;=$B124, "Y", "N"))</f>
        <v>N</v>
      </c>
      <c r="S126" s="3" t="str">
        <f t="shared" si="66"/>
        <v>N</v>
      </c>
      <c r="T126" s="3" t="str">
        <f t="shared" si="66"/>
        <v>N</v>
      </c>
      <c r="U126" s="3" t="str">
        <f t="shared" si="66"/>
        <v>Y</v>
      </c>
      <c r="V126" s="3" t="str">
        <f t="shared" si="66"/>
        <v>Y</v>
      </c>
      <c r="W126" s="3" t="str">
        <f t="shared" si="66"/>
        <v>Y</v>
      </c>
      <c r="X126" s="3" t="str">
        <f t="shared" si="66"/>
        <v>Y</v>
      </c>
      <c r="Y126" s="3" t="str">
        <f t="shared" si="66"/>
        <v>Y</v>
      </c>
      <c r="Z126" s="3" t="str">
        <f t="shared" si="66"/>
        <v>Y</v>
      </c>
      <c r="AA126" s="3" t="str">
        <f t="shared" si="66"/>
        <v>Y</v>
      </c>
      <c r="AB126" s="3" t="str">
        <f t="shared" si="66"/>
        <v>Y</v>
      </c>
      <c r="AC126" s="3" t="str">
        <f t="shared" si="66"/>
        <v>Y</v>
      </c>
      <c r="AD126" s="3" t="str">
        <f t="shared" si="66"/>
        <v>Y</v>
      </c>
      <c r="AE126" s="3" t="str">
        <f t="shared" si="66"/>
        <v>Y</v>
      </c>
      <c r="AF126" s="3" t="str">
        <f t="shared" si="66"/>
        <v>Y</v>
      </c>
      <c r="AG126" s="3" t="str">
        <f t="shared" si="66"/>
        <v>Y</v>
      </c>
      <c r="AH126" s="3" t="str">
        <f t="shared" si="66"/>
        <v>Y</v>
      </c>
      <c r="AI126" s="3" t="str">
        <f t="shared" si="66"/>
        <v>Y</v>
      </c>
      <c r="AJ126" s="3" t="str">
        <f t="shared" si="66"/>
        <v>Y</v>
      </c>
      <c r="AK126" s="3" t="str">
        <f t="shared" si="66"/>
        <v>Y</v>
      </c>
      <c r="AL126" s="3" t="str">
        <f t="shared" si="66"/>
        <v>Y</v>
      </c>
      <c r="AM126" s="3" t="str">
        <f t="shared" si="66"/>
        <v>Y</v>
      </c>
    </row>
    <row r="127" ht="15.75" customHeight="1">
      <c r="A127" s="3" t="s">
        <v>150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12">
        <v>0.0</v>
      </c>
      <c r="R127" s="12">
        <f>IF(AND(R126="Y", Q130="N"), $B124*Inputs!$B$12/12, 0)</f>
        <v>0</v>
      </c>
      <c r="S127" s="12">
        <f>IF(AND(S126="Y", R130="N"), $B124*Inputs!$B$12/12, 0)</f>
        <v>0</v>
      </c>
      <c r="T127" s="12">
        <f>IF(AND(T126="Y", S130="N"), $B124*Inputs!$B$12/12, 0)</f>
        <v>0</v>
      </c>
      <c r="U127" s="12">
        <f>IF(AND(U126="Y", T130="N"), $B124*Inputs!$B$12/12, 0)</f>
        <v>0</v>
      </c>
      <c r="V127" s="12">
        <f>IF(AND(V126="Y", U130="N"), $B124*Inputs!$B$12/12, 0)</f>
        <v>0</v>
      </c>
      <c r="W127" s="12">
        <f>IF(AND(W126="Y", V130="N"), $B124*Inputs!$B$12/12, 0)</f>
        <v>0</v>
      </c>
      <c r="X127" s="12">
        <f>IF(AND(X126="Y", W130="N"), $B124*Inputs!$B$12/12, 0)</f>
        <v>0</v>
      </c>
      <c r="Y127" s="12">
        <f>IF(AND(Y126="Y", X130="N"), $B124*Inputs!$B$12/12, 0)</f>
        <v>0</v>
      </c>
      <c r="Z127" s="12">
        <f>IF(AND(Z126="Y", Y130="N"), $B124*Inputs!$B$12/12, 0)</f>
        <v>0</v>
      </c>
      <c r="AA127" s="12">
        <f>IF(AND(AA126="Y", Z130="N"), $B124*Inputs!$B$12/12, 0)</f>
        <v>0</v>
      </c>
      <c r="AB127" s="12">
        <f>IF(AND(AB126="Y", AA130="N"), $B124*Inputs!$B$12/12, 0)</f>
        <v>0</v>
      </c>
      <c r="AC127" s="12">
        <f>IF(AND(AC126="Y", AB130="N"), $B124*Inputs!$B$12/12, 0)</f>
        <v>0</v>
      </c>
      <c r="AD127" s="12">
        <f>IF(AND(AD126="Y", AC130="N"), $B124*Inputs!$B$12/12, 0)</f>
        <v>0</v>
      </c>
      <c r="AE127" s="12">
        <f>IF(AND(AE126="Y", AD130="N"), $B124*Inputs!$B$12/12, 0)</f>
        <v>0</v>
      </c>
      <c r="AF127" s="12">
        <f>IF(AND(AF126="Y", AE130="N"), $B124*Inputs!$B$12/12, 0)</f>
        <v>0</v>
      </c>
      <c r="AG127" s="12">
        <f>IF(AND(AG126="Y", AF130="N"), $B124*Inputs!$B$12/12, 0)</f>
        <v>0</v>
      </c>
      <c r="AH127" s="12">
        <f>IF(AND(AH126="Y", AG130="N"), $B124*Inputs!$B$12/12, 0)</f>
        <v>0</v>
      </c>
      <c r="AI127" s="12">
        <f>IF(AND(AI126="Y", AH130="N"), $B124*Inputs!$B$12/12, 0)</f>
        <v>0</v>
      </c>
      <c r="AJ127" s="12">
        <f>IF(AND(AJ126="Y", AI130="N"), $B124*Inputs!$B$12/12, 0)</f>
        <v>0</v>
      </c>
      <c r="AK127" s="12">
        <f>IF(AND(AK126="Y", AJ130="N"), $B124*Inputs!$B$12/12, 0)</f>
        <v>0</v>
      </c>
      <c r="AL127" s="12">
        <f>IF(AND(AL126="Y", AK130="N"), $B124*Inputs!$B$12/12, 0)</f>
        <v>0</v>
      </c>
      <c r="AM127" s="12">
        <f>IF(AND(AM126="Y", AL130="N"), $B124*Inputs!$B$12/12, 0)</f>
        <v>0</v>
      </c>
    </row>
    <row r="128" ht="15.75" customHeight="1">
      <c r="A128" s="3" t="s">
        <v>151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12">
        <f>IF($B124=0, 0, MIN(Q125, $C124))</f>
        <v>217995.1505</v>
      </c>
      <c r="R128" s="12">
        <f t="shared" ref="R128:AM128" si="67">IF($B124=0, 0, IF(Q130="Y", 0, IF(R126="N", MIN(R125, $C124-Q129), MIN(R125*0.5+R127, $C124-Q129))))</f>
        <v>103947.5553</v>
      </c>
      <c r="S128" s="12">
        <f t="shared" si="67"/>
        <v>66631.45688</v>
      </c>
      <c r="T128" s="12">
        <f t="shared" si="67"/>
        <v>31425.83729</v>
      </c>
      <c r="U128" s="12">
        <f t="shared" si="67"/>
        <v>0</v>
      </c>
      <c r="V128" s="12">
        <f t="shared" si="67"/>
        <v>0</v>
      </c>
      <c r="W128" s="12">
        <f t="shared" si="67"/>
        <v>0</v>
      </c>
      <c r="X128" s="12">
        <f t="shared" si="67"/>
        <v>0</v>
      </c>
      <c r="Y128" s="12">
        <f t="shared" si="67"/>
        <v>0</v>
      </c>
      <c r="Z128" s="12">
        <f t="shared" si="67"/>
        <v>0</v>
      </c>
      <c r="AA128" s="12">
        <f t="shared" si="67"/>
        <v>0</v>
      </c>
      <c r="AB128" s="12">
        <f t="shared" si="67"/>
        <v>0</v>
      </c>
      <c r="AC128" s="12">
        <f t="shared" si="67"/>
        <v>0</v>
      </c>
      <c r="AD128" s="12">
        <f t="shared" si="67"/>
        <v>0</v>
      </c>
      <c r="AE128" s="12">
        <f t="shared" si="67"/>
        <v>0</v>
      </c>
      <c r="AF128" s="12">
        <f t="shared" si="67"/>
        <v>0</v>
      </c>
      <c r="AG128" s="12">
        <f t="shared" si="67"/>
        <v>0</v>
      </c>
      <c r="AH128" s="12">
        <f t="shared" si="67"/>
        <v>0</v>
      </c>
      <c r="AI128" s="12">
        <f t="shared" si="67"/>
        <v>0</v>
      </c>
      <c r="AJ128" s="12">
        <f t="shared" si="67"/>
        <v>0</v>
      </c>
      <c r="AK128" s="12">
        <f t="shared" si="67"/>
        <v>0</v>
      </c>
      <c r="AL128" s="12">
        <f t="shared" si="67"/>
        <v>0</v>
      </c>
      <c r="AM128" s="12">
        <f t="shared" si="67"/>
        <v>0</v>
      </c>
    </row>
    <row r="129" ht="15.75" customHeight="1">
      <c r="A129" s="3" t="s">
        <v>152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12">
        <f>Q128</f>
        <v>217995.1505</v>
      </c>
      <c r="R129" s="12">
        <f t="shared" ref="R129:AM129" si="68">Q129+R128</f>
        <v>321942.7058</v>
      </c>
      <c r="S129" s="12">
        <f t="shared" si="68"/>
        <v>388574.1627</v>
      </c>
      <c r="T129" s="12">
        <f t="shared" si="68"/>
        <v>420000</v>
      </c>
      <c r="U129" s="12">
        <f t="shared" si="68"/>
        <v>420000</v>
      </c>
      <c r="V129" s="12">
        <f t="shared" si="68"/>
        <v>420000</v>
      </c>
      <c r="W129" s="12">
        <f t="shared" si="68"/>
        <v>420000</v>
      </c>
      <c r="X129" s="12">
        <f t="shared" si="68"/>
        <v>420000</v>
      </c>
      <c r="Y129" s="12">
        <f t="shared" si="68"/>
        <v>420000</v>
      </c>
      <c r="Z129" s="12">
        <f t="shared" si="68"/>
        <v>420000</v>
      </c>
      <c r="AA129" s="12">
        <f t="shared" si="68"/>
        <v>420000</v>
      </c>
      <c r="AB129" s="12">
        <f t="shared" si="68"/>
        <v>420000</v>
      </c>
      <c r="AC129" s="12">
        <f t="shared" si="68"/>
        <v>420000</v>
      </c>
      <c r="AD129" s="12">
        <f t="shared" si="68"/>
        <v>420000</v>
      </c>
      <c r="AE129" s="12">
        <f t="shared" si="68"/>
        <v>420000</v>
      </c>
      <c r="AF129" s="12">
        <f t="shared" si="68"/>
        <v>420000</v>
      </c>
      <c r="AG129" s="12">
        <f t="shared" si="68"/>
        <v>420000</v>
      </c>
      <c r="AH129" s="12">
        <f t="shared" si="68"/>
        <v>420000</v>
      </c>
      <c r="AI129" s="12">
        <f t="shared" si="68"/>
        <v>420000</v>
      </c>
      <c r="AJ129" s="12">
        <f t="shared" si="68"/>
        <v>420000</v>
      </c>
      <c r="AK129" s="12">
        <f t="shared" si="68"/>
        <v>420000</v>
      </c>
      <c r="AL129" s="12">
        <f t="shared" si="68"/>
        <v>420000</v>
      </c>
      <c r="AM129" s="12">
        <f t="shared" si="68"/>
        <v>420000</v>
      </c>
    </row>
    <row r="130" ht="15.75" customHeight="1">
      <c r="A130" s="3" t="s">
        <v>153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 t="str">
        <f t="shared" ref="Q130:AM130" si="69">IF(Q129&gt;=$C124, "Y", "N")</f>
        <v>N</v>
      </c>
      <c r="R130" s="3" t="str">
        <f t="shared" si="69"/>
        <v>N</v>
      </c>
      <c r="S130" s="3" t="str">
        <f t="shared" si="69"/>
        <v>N</v>
      </c>
      <c r="T130" s="3" t="str">
        <f t="shared" si="69"/>
        <v>Y</v>
      </c>
      <c r="U130" s="3" t="str">
        <f t="shared" si="69"/>
        <v>Y</v>
      </c>
      <c r="V130" s="3" t="str">
        <f t="shared" si="69"/>
        <v>Y</v>
      </c>
      <c r="W130" s="3" t="str">
        <f t="shared" si="69"/>
        <v>Y</v>
      </c>
      <c r="X130" s="3" t="str">
        <f t="shared" si="69"/>
        <v>Y</v>
      </c>
      <c r="Y130" s="3" t="str">
        <f t="shared" si="69"/>
        <v>Y</v>
      </c>
      <c r="Z130" s="3" t="str">
        <f t="shared" si="69"/>
        <v>Y</v>
      </c>
      <c r="AA130" s="3" t="str">
        <f t="shared" si="69"/>
        <v>Y</v>
      </c>
      <c r="AB130" s="3" t="str">
        <f t="shared" si="69"/>
        <v>Y</v>
      </c>
      <c r="AC130" s="3" t="str">
        <f t="shared" si="69"/>
        <v>Y</v>
      </c>
      <c r="AD130" s="3" t="str">
        <f t="shared" si="69"/>
        <v>Y</v>
      </c>
      <c r="AE130" s="3" t="str">
        <f t="shared" si="69"/>
        <v>Y</v>
      </c>
      <c r="AF130" s="3" t="str">
        <f t="shared" si="69"/>
        <v>Y</v>
      </c>
      <c r="AG130" s="3" t="str">
        <f t="shared" si="69"/>
        <v>Y</v>
      </c>
      <c r="AH130" s="3" t="str">
        <f t="shared" si="69"/>
        <v>Y</v>
      </c>
      <c r="AI130" s="3" t="str">
        <f t="shared" si="69"/>
        <v>Y</v>
      </c>
      <c r="AJ130" s="3" t="str">
        <f t="shared" si="69"/>
        <v>Y</v>
      </c>
      <c r="AK130" s="3" t="str">
        <f t="shared" si="69"/>
        <v>Y</v>
      </c>
      <c r="AL130" s="3" t="str">
        <f t="shared" si="69"/>
        <v>Y</v>
      </c>
      <c r="AM130" s="3" t="str">
        <f t="shared" si="69"/>
        <v>Y</v>
      </c>
    </row>
    <row r="131" ht="15.75" customHeight="1">
      <c r="A131" s="3" t="s">
        <v>154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12">
        <f t="shared" ref="Q131:AM131" si="70">Q125-Q128</f>
        <v>0</v>
      </c>
      <c r="R131" s="12">
        <f t="shared" si="70"/>
        <v>0</v>
      </c>
      <c r="S131" s="12">
        <f t="shared" si="70"/>
        <v>0</v>
      </c>
      <c r="T131" s="12">
        <f t="shared" si="70"/>
        <v>15453.38792</v>
      </c>
      <c r="U131" s="12">
        <f t="shared" si="70"/>
        <v>27871.09714</v>
      </c>
      <c r="V131" s="12">
        <f t="shared" si="70"/>
        <v>24984.36651</v>
      </c>
      <c r="W131" s="12">
        <f t="shared" si="70"/>
        <v>21577.61086</v>
      </c>
      <c r="X131" s="12">
        <f t="shared" si="70"/>
        <v>19065.02414</v>
      </c>
      <c r="Y131" s="12">
        <f t="shared" si="70"/>
        <v>17043.36685</v>
      </c>
      <c r="Z131" s="12">
        <f t="shared" si="70"/>
        <v>19805.14658</v>
      </c>
      <c r="AA131" s="12">
        <f t="shared" si="70"/>
        <v>13800</v>
      </c>
      <c r="AB131" s="12">
        <f t="shared" si="70"/>
        <v>13800</v>
      </c>
      <c r="AC131" s="12">
        <f t="shared" si="70"/>
        <v>13800</v>
      </c>
      <c r="AD131" s="12">
        <f t="shared" si="70"/>
        <v>3450</v>
      </c>
      <c r="AE131" s="12">
        <f t="shared" si="70"/>
        <v>3450</v>
      </c>
      <c r="AF131" s="12">
        <f t="shared" si="70"/>
        <v>3450</v>
      </c>
      <c r="AG131" s="12">
        <f t="shared" si="70"/>
        <v>3450</v>
      </c>
      <c r="AH131" s="12">
        <f t="shared" si="70"/>
        <v>3450</v>
      </c>
      <c r="AI131" s="12">
        <f t="shared" si="70"/>
        <v>3450</v>
      </c>
      <c r="AJ131" s="12">
        <f t="shared" si="70"/>
        <v>3450</v>
      </c>
      <c r="AK131" s="12">
        <f t="shared" si="70"/>
        <v>3450</v>
      </c>
      <c r="AL131" s="12">
        <f t="shared" si="70"/>
        <v>3450</v>
      </c>
      <c r="AM131" s="12">
        <f t="shared" si="70"/>
        <v>3450</v>
      </c>
    </row>
    <row r="132" ht="15.75" customHeight="1"/>
    <row r="133" ht="15.75" customHeight="1">
      <c r="A133" s="2" t="str">
        <f>Acquisition_Plan!A18</f>
        <v>2027-03-28</v>
      </c>
      <c r="B133" s="12">
        <f>Acquisition_Plan!E18</f>
        <v>400000</v>
      </c>
      <c r="C133" s="12">
        <f>B133*(1+Inputs!$B$12)</f>
        <v>420000</v>
      </c>
    </row>
    <row r="134" ht="15.75" customHeight="1">
      <c r="A134" s="3" t="s">
        <v>147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12">
        <f>$B133*Inputs!$B$15*Curves!C5*(1-Inputs!$B$16)</f>
        <v>217995.1505</v>
      </c>
      <c r="S134" s="12">
        <f>$B133*Inputs!$B$15*Curves!C6*(1-Inputs!$B$16)</f>
        <v>103947.5553</v>
      </c>
      <c r="T134" s="12">
        <f>$B133*Inputs!$B$15*Curves!C7*(1-Inputs!$B$16)</f>
        <v>66631.45688</v>
      </c>
      <c r="U134" s="12">
        <f>$B133*Inputs!$B$15*Curves!C8*(1-Inputs!$B$16)</f>
        <v>46879.22521</v>
      </c>
      <c r="V134" s="12">
        <f>$B133*Inputs!$B$15*Curves!C9*(1-Inputs!$B$16)</f>
        <v>27871.09714</v>
      </c>
      <c r="W134" s="12">
        <f>$B133*Inputs!$B$15*Curves!C10*(1-Inputs!$B$16)</f>
        <v>24984.36651</v>
      </c>
      <c r="X134" s="12">
        <f>$B133*Inputs!$B$15*Curves!C11*(1-Inputs!$B$16)</f>
        <v>21577.61086</v>
      </c>
      <c r="Y134" s="12">
        <f>$B133*Inputs!$B$15*Curves!C12*(1-Inputs!$B$16)</f>
        <v>19065.02414</v>
      </c>
      <c r="Z134" s="12">
        <f>$B133*Inputs!$B$15*Curves!C13*(1-Inputs!$B$16)</f>
        <v>17043.36685</v>
      </c>
      <c r="AA134" s="12">
        <f>$B133*Inputs!$B$15*Curves!C14*(1-Inputs!$B$16)</f>
        <v>19805.14658</v>
      </c>
      <c r="AB134" s="12">
        <f>$B133*Inputs!$B$15*Curves!C15*(1-Inputs!$B$16)</f>
        <v>13800</v>
      </c>
      <c r="AC134" s="12">
        <f>$B133*Inputs!$B$15*Curves!C16*(1-Inputs!$B$16)</f>
        <v>13800</v>
      </c>
      <c r="AD134" s="12">
        <f>$B133*Inputs!$B$15*Curves!C17*(1-Inputs!$B$16)</f>
        <v>13800</v>
      </c>
      <c r="AE134" s="12">
        <f>$B133*Inputs!$B$15*Curves!C18*(1-Inputs!$B$16)</f>
        <v>3450</v>
      </c>
      <c r="AF134" s="12">
        <f>$B133*Inputs!$B$15*Curves!C19*(1-Inputs!$B$16)</f>
        <v>3450</v>
      </c>
      <c r="AG134" s="12">
        <f>$B133*Inputs!$B$15*Curves!C20*(1-Inputs!$B$16)</f>
        <v>3450</v>
      </c>
      <c r="AH134" s="12">
        <f>$B133*Inputs!$B$15*Curves!C21*(1-Inputs!$B$16)</f>
        <v>3450</v>
      </c>
      <c r="AI134" s="12">
        <f>$B133*Inputs!$B$15*Curves!C22*(1-Inputs!$B$16)</f>
        <v>3450</v>
      </c>
      <c r="AJ134" s="12">
        <f>$B133*Inputs!$B$15*Curves!C23*(1-Inputs!$B$16)</f>
        <v>3450</v>
      </c>
      <c r="AK134" s="12">
        <f>$B133*Inputs!$B$15*Curves!C24*(1-Inputs!$B$16)</f>
        <v>3450</v>
      </c>
      <c r="AL134" s="12">
        <f>$B133*Inputs!$B$15*Curves!C25*(1-Inputs!$B$16)</f>
        <v>3450</v>
      </c>
      <c r="AM134" s="12">
        <f>$B133*Inputs!$B$15*Curves!C26*(1-Inputs!$B$16)</f>
        <v>3450</v>
      </c>
    </row>
    <row r="135" ht="15.75" customHeight="1">
      <c r="A135" s="3" t="s">
        <v>148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 t="s">
        <v>149</v>
      </c>
      <c r="S135" s="3" t="str">
        <f t="shared" ref="S135:AM135" si="71">IF($B133=0, "N", IF(R138&gt;=$B133, "Y", "N"))</f>
        <v>N</v>
      </c>
      <c r="T135" s="3" t="str">
        <f t="shared" si="71"/>
        <v>N</v>
      </c>
      <c r="U135" s="3" t="str">
        <f t="shared" si="71"/>
        <v>N</v>
      </c>
      <c r="V135" s="3" t="str">
        <f t="shared" si="71"/>
        <v>Y</v>
      </c>
      <c r="W135" s="3" t="str">
        <f t="shared" si="71"/>
        <v>Y</v>
      </c>
      <c r="X135" s="3" t="str">
        <f t="shared" si="71"/>
        <v>Y</v>
      </c>
      <c r="Y135" s="3" t="str">
        <f t="shared" si="71"/>
        <v>Y</v>
      </c>
      <c r="Z135" s="3" t="str">
        <f t="shared" si="71"/>
        <v>Y</v>
      </c>
      <c r="AA135" s="3" t="str">
        <f t="shared" si="71"/>
        <v>Y</v>
      </c>
      <c r="AB135" s="3" t="str">
        <f t="shared" si="71"/>
        <v>Y</v>
      </c>
      <c r="AC135" s="3" t="str">
        <f t="shared" si="71"/>
        <v>Y</v>
      </c>
      <c r="AD135" s="3" t="str">
        <f t="shared" si="71"/>
        <v>Y</v>
      </c>
      <c r="AE135" s="3" t="str">
        <f t="shared" si="71"/>
        <v>Y</v>
      </c>
      <c r="AF135" s="3" t="str">
        <f t="shared" si="71"/>
        <v>Y</v>
      </c>
      <c r="AG135" s="3" t="str">
        <f t="shared" si="71"/>
        <v>Y</v>
      </c>
      <c r="AH135" s="3" t="str">
        <f t="shared" si="71"/>
        <v>Y</v>
      </c>
      <c r="AI135" s="3" t="str">
        <f t="shared" si="71"/>
        <v>Y</v>
      </c>
      <c r="AJ135" s="3" t="str">
        <f t="shared" si="71"/>
        <v>Y</v>
      </c>
      <c r="AK135" s="3" t="str">
        <f t="shared" si="71"/>
        <v>Y</v>
      </c>
      <c r="AL135" s="3" t="str">
        <f t="shared" si="71"/>
        <v>Y</v>
      </c>
      <c r="AM135" s="3" t="str">
        <f t="shared" si="71"/>
        <v>Y</v>
      </c>
    </row>
    <row r="136" ht="15.75" customHeight="1">
      <c r="A136" s="3" t="s">
        <v>150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12">
        <v>0.0</v>
      </c>
      <c r="S136" s="12">
        <f>IF(AND(S135="Y", R139="N"), $B133*Inputs!$B$12/12, 0)</f>
        <v>0</v>
      </c>
      <c r="T136" s="12">
        <f>IF(AND(T135="Y", S139="N"), $B133*Inputs!$B$12/12, 0)</f>
        <v>0</v>
      </c>
      <c r="U136" s="12">
        <f>IF(AND(U135="Y", T139="N"), $B133*Inputs!$B$12/12, 0)</f>
        <v>0</v>
      </c>
      <c r="V136" s="12">
        <f>IF(AND(V135="Y", U139="N"), $B133*Inputs!$B$12/12, 0)</f>
        <v>0</v>
      </c>
      <c r="W136" s="12">
        <f>IF(AND(W135="Y", V139="N"), $B133*Inputs!$B$12/12, 0)</f>
        <v>0</v>
      </c>
      <c r="X136" s="12">
        <f>IF(AND(X135="Y", W139="N"), $B133*Inputs!$B$12/12, 0)</f>
        <v>0</v>
      </c>
      <c r="Y136" s="12">
        <f>IF(AND(Y135="Y", X139="N"), $B133*Inputs!$B$12/12, 0)</f>
        <v>0</v>
      </c>
      <c r="Z136" s="12">
        <f>IF(AND(Z135="Y", Y139="N"), $B133*Inputs!$B$12/12, 0)</f>
        <v>0</v>
      </c>
      <c r="AA136" s="12">
        <f>IF(AND(AA135="Y", Z139="N"), $B133*Inputs!$B$12/12, 0)</f>
        <v>0</v>
      </c>
      <c r="AB136" s="12">
        <f>IF(AND(AB135="Y", AA139="N"), $B133*Inputs!$B$12/12, 0)</f>
        <v>0</v>
      </c>
      <c r="AC136" s="12">
        <f>IF(AND(AC135="Y", AB139="N"), $B133*Inputs!$B$12/12, 0)</f>
        <v>0</v>
      </c>
      <c r="AD136" s="12">
        <f>IF(AND(AD135="Y", AC139="N"), $B133*Inputs!$B$12/12, 0)</f>
        <v>0</v>
      </c>
      <c r="AE136" s="12">
        <f>IF(AND(AE135="Y", AD139="N"), $B133*Inputs!$B$12/12, 0)</f>
        <v>0</v>
      </c>
      <c r="AF136" s="12">
        <f>IF(AND(AF135="Y", AE139="N"), $B133*Inputs!$B$12/12, 0)</f>
        <v>0</v>
      </c>
      <c r="AG136" s="12">
        <f>IF(AND(AG135="Y", AF139="N"), $B133*Inputs!$B$12/12, 0)</f>
        <v>0</v>
      </c>
      <c r="AH136" s="12">
        <f>IF(AND(AH135="Y", AG139="N"), $B133*Inputs!$B$12/12, 0)</f>
        <v>0</v>
      </c>
      <c r="AI136" s="12">
        <f>IF(AND(AI135="Y", AH139="N"), $B133*Inputs!$B$12/12, 0)</f>
        <v>0</v>
      </c>
      <c r="AJ136" s="12">
        <f>IF(AND(AJ135="Y", AI139="N"), $B133*Inputs!$B$12/12, 0)</f>
        <v>0</v>
      </c>
      <c r="AK136" s="12">
        <f>IF(AND(AK135="Y", AJ139="N"), $B133*Inputs!$B$12/12, 0)</f>
        <v>0</v>
      </c>
      <c r="AL136" s="12">
        <f>IF(AND(AL135="Y", AK139="N"), $B133*Inputs!$B$12/12, 0)</f>
        <v>0</v>
      </c>
      <c r="AM136" s="12">
        <f>IF(AND(AM135="Y", AL139="N"), $B133*Inputs!$B$12/12, 0)</f>
        <v>0</v>
      </c>
    </row>
    <row r="137" ht="15.75" customHeight="1">
      <c r="A137" s="3" t="s">
        <v>151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12">
        <f>IF($B133=0, 0, MIN(R134, $C133))</f>
        <v>217995.1505</v>
      </c>
      <c r="S137" s="12">
        <f t="shared" ref="S137:AM137" si="72">IF($B133=0, 0, IF(R139="Y", 0, IF(S135="N", MIN(S134, $C133-R138), MIN(S134*0.5+S136, $C133-R138))))</f>
        <v>103947.5553</v>
      </c>
      <c r="T137" s="12">
        <f t="shared" si="72"/>
        <v>66631.45688</v>
      </c>
      <c r="U137" s="12">
        <f t="shared" si="72"/>
        <v>31425.83729</v>
      </c>
      <c r="V137" s="12">
        <f t="shared" si="72"/>
        <v>0</v>
      </c>
      <c r="W137" s="12">
        <f t="shared" si="72"/>
        <v>0</v>
      </c>
      <c r="X137" s="12">
        <f t="shared" si="72"/>
        <v>0</v>
      </c>
      <c r="Y137" s="12">
        <f t="shared" si="72"/>
        <v>0</v>
      </c>
      <c r="Z137" s="12">
        <f t="shared" si="72"/>
        <v>0</v>
      </c>
      <c r="AA137" s="12">
        <f t="shared" si="72"/>
        <v>0</v>
      </c>
      <c r="AB137" s="12">
        <f t="shared" si="72"/>
        <v>0</v>
      </c>
      <c r="AC137" s="12">
        <f t="shared" si="72"/>
        <v>0</v>
      </c>
      <c r="AD137" s="12">
        <f t="shared" si="72"/>
        <v>0</v>
      </c>
      <c r="AE137" s="12">
        <f t="shared" si="72"/>
        <v>0</v>
      </c>
      <c r="AF137" s="12">
        <f t="shared" si="72"/>
        <v>0</v>
      </c>
      <c r="AG137" s="12">
        <f t="shared" si="72"/>
        <v>0</v>
      </c>
      <c r="AH137" s="12">
        <f t="shared" si="72"/>
        <v>0</v>
      </c>
      <c r="AI137" s="12">
        <f t="shared" si="72"/>
        <v>0</v>
      </c>
      <c r="AJ137" s="12">
        <f t="shared" si="72"/>
        <v>0</v>
      </c>
      <c r="AK137" s="12">
        <f t="shared" si="72"/>
        <v>0</v>
      </c>
      <c r="AL137" s="12">
        <f t="shared" si="72"/>
        <v>0</v>
      </c>
      <c r="AM137" s="12">
        <f t="shared" si="72"/>
        <v>0</v>
      </c>
    </row>
    <row r="138" ht="15.75" customHeight="1">
      <c r="A138" s="3" t="s">
        <v>152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12">
        <f>R137</f>
        <v>217995.1505</v>
      </c>
      <c r="S138" s="12">
        <f t="shared" ref="S138:AM138" si="73">R138+S137</f>
        <v>321942.7058</v>
      </c>
      <c r="T138" s="12">
        <f t="shared" si="73"/>
        <v>388574.1627</v>
      </c>
      <c r="U138" s="12">
        <f t="shared" si="73"/>
        <v>420000</v>
      </c>
      <c r="V138" s="12">
        <f t="shared" si="73"/>
        <v>420000</v>
      </c>
      <c r="W138" s="12">
        <f t="shared" si="73"/>
        <v>420000</v>
      </c>
      <c r="X138" s="12">
        <f t="shared" si="73"/>
        <v>420000</v>
      </c>
      <c r="Y138" s="12">
        <f t="shared" si="73"/>
        <v>420000</v>
      </c>
      <c r="Z138" s="12">
        <f t="shared" si="73"/>
        <v>420000</v>
      </c>
      <c r="AA138" s="12">
        <f t="shared" si="73"/>
        <v>420000</v>
      </c>
      <c r="AB138" s="12">
        <f t="shared" si="73"/>
        <v>420000</v>
      </c>
      <c r="AC138" s="12">
        <f t="shared" si="73"/>
        <v>420000</v>
      </c>
      <c r="AD138" s="12">
        <f t="shared" si="73"/>
        <v>420000</v>
      </c>
      <c r="AE138" s="12">
        <f t="shared" si="73"/>
        <v>420000</v>
      </c>
      <c r="AF138" s="12">
        <f t="shared" si="73"/>
        <v>420000</v>
      </c>
      <c r="AG138" s="12">
        <f t="shared" si="73"/>
        <v>420000</v>
      </c>
      <c r="AH138" s="12">
        <f t="shared" si="73"/>
        <v>420000</v>
      </c>
      <c r="AI138" s="12">
        <f t="shared" si="73"/>
        <v>420000</v>
      </c>
      <c r="AJ138" s="12">
        <f t="shared" si="73"/>
        <v>420000</v>
      </c>
      <c r="AK138" s="12">
        <f t="shared" si="73"/>
        <v>420000</v>
      </c>
      <c r="AL138" s="12">
        <f t="shared" si="73"/>
        <v>420000</v>
      </c>
      <c r="AM138" s="12">
        <f t="shared" si="73"/>
        <v>420000</v>
      </c>
    </row>
    <row r="139" ht="15.75" customHeight="1">
      <c r="A139" s="3" t="s">
        <v>153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 t="str">
        <f t="shared" ref="R139:AM139" si="74">IF(R138&gt;=$C133, "Y", "N")</f>
        <v>N</v>
      </c>
      <c r="S139" s="3" t="str">
        <f t="shared" si="74"/>
        <v>N</v>
      </c>
      <c r="T139" s="3" t="str">
        <f t="shared" si="74"/>
        <v>N</v>
      </c>
      <c r="U139" s="3" t="str">
        <f t="shared" si="74"/>
        <v>Y</v>
      </c>
      <c r="V139" s="3" t="str">
        <f t="shared" si="74"/>
        <v>Y</v>
      </c>
      <c r="W139" s="3" t="str">
        <f t="shared" si="74"/>
        <v>Y</v>
      </c>
      <c r="X139" s="3" t="str">
        <f t="shared" si="74"/>
        <v>Y</v>
      </c>
      <c r="Y139" s="3" t="str">
        <f t="shared" si="74"/>
        <v>Y</v>
      </c>
      <c r="Z139" s="3" t="str">
        <f t="shared" si="74"/>
        <v>Y</v>
      </c>
      <c r="AA139" s="3" t="str">
        <f t="shared" si="74"/>
        <v>Y</v>
      </c>
      <c r="AB139" s="3" t="str">
        <f t="shared" si="74"/>
        <v>Y</v>
      </c>
      <c r="AC139" s="3" t="str">
        <f t="shared" si="74"/>
        <v>Y</v>
      </c>
      <c r="AD139" s="3" t="str">
        <f t="shared" si="74"/>
        <v>Y</v>
      </c>
      <c r="AE139" s="3" t="str">
        <f t="shared" si="74"/>
        <v>Y</v>
      </c>
      <c r="AF139" s="3" t="str">
        <f t="shared" si="74"/>
        <v>Y</v>
      </c>
      <c r="AG139" s="3" t="str">
        <f t="shared" si="74"/>
        <v>Y</v>
      </c>
      <c r="AH139" s="3" t="str">
        <f t="shared" si="74"/>
        <v>Y</v>
      </c>
      <c r="AI139" s="3" t="str">
        <f t="shared" si="74"/>
        <v>Y</v>
      </c>
      <c r="AJ139" s="3" t="str">
        <f t="shared" si="74"/>
        <v>Y</v>
      </c>
      <c r="AK139" s="3" t="str">
        <f t="shared" si="74"/>
        <v>Y</v>
      </c>
      <c r="AL139" s="3" t="str">
        <f t="shared" si="74"/>
        <v>Y</v>
      </c>
      <c r="AM139" s="3" t="str">
        <f t="shared" si="74"/>
        <v>Y</v>
      </c>
    </row>
    <row r="140" ht="15.75" customHeight="1">
      <c r="A140" s="3" t="s">
        <v>154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12">
        <f t="shared" ref="R140:AM140" si="75">R134-R137</f>
        <v>0</v>
      </c>
      <c r="S140" s="12">
        <f t="shared" si="75"/>
        <v>0</v>
      </c>
      <c r="T140" s="12">
        <f t="shared" si="75"/>
        <v>0</v>
      </c>
      <c r="U140" s="12">
        <f t="shared" si="75"/>
        <v>15453.38792</v>
      </c>
      <c r="V140" s="12">
        <f t="shared" si="75"/>
        <v>27871.09714</v>
      </c>
      <c r="W140" s="12">
        <f t="shared" si="75"/>
        <v>24984.36651</v>
      </c>
      <c r="X140" s="12">
        <f t="shared" si="75"/>
        <v>21577.61086</v>
      </c>
      <c r="Y140" s="12">
        <f t="shared" si="75"/>
        <v>19065.02414</v>
      </c>
      <c r="Z140" s="12">
        <f t="shared" si="75"/>
        <v>17043.36685</v>
      </c>
      <c r="AA140" s="12">
        <f t="shared" si="75"/>
        <v>19805.14658</v>
      </c>
      <c r="AB140" s="12">
        <f t="shared" si="75"/>
        <v>13800</v>
      </c>
      <c r="AC140" s="12">
        <f t="shared" si="75"/>
        <v>13800</v>
      </c>
      <c r="AD140" s="12">
        <f t="shared" si="75"/>
        <v>13800</v>
      </c>
      <c r="AE140" s="12">
        <f t="shared" si="75"/>
        <v>3450</v>
      </c>
      <c r="AF140" s="12">
        <f t="shared" si="75"/>
        <v>3450</v>
      </c>
      <c r="AG140" s="12">
        <f t="shared" si="75"/>
        <v>3450</v>
      </c>
      <c r="AH140" s="12">
        <f t="shared" si="75"/>
        <v>3450</v>
      </c>
      <c r="AI140" s="12">
        <f t="shared" si="75"/>
        <v>3450</v>
      </c>
      <c r="AJ140" s="12">
        <f t="shared" si="75"/>
        <v>3450</v>
      </c>
      <c r="AK140" s="12">
        <f t="shared" si="75"/>
        <v>3450</v>
      </c>
      <c r="AL140" s="12">
        <f t="shared" si="75"/>
        <v>3450</v>
      </c>
      <c r="AM140" s="12">
        <f t="shared" si="75"/>
        <v>3450</v>
      </c>
    </row>
    <row r="141" ht="15.75" customHeight="1"/>
    <row r="142" ht="15.75" customHeight="1">
      <c r="A142" s="2" t="str">
        <f>Acquisition_Plan!A19</f>
        <v>2027-04-27</v>
      </c>
      <c r="B142" s="12">
        <f>Acquisition_Plan!E19</f>
        <v>400000</v>
      </c>
      <c r="C142" s="12">
        <f>B142*(1+Inputs!$B$12)</f>
        <v>420000</v>
      </c>
    </row>
    <row r="143" ht="15.75" customHeight="1">
      <c r="A143" s="3" t="s">
        <v>147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12">
        <f>$B142*Inputs!$B$15*Curves!C5*(1-Inputs!$B$16)</f>
        <v>217995.1505</v>
      </c>
      <c r="T143" s="12">
        <f>$B142*Inputs!$B$15*Curves!C6*(1-Inputs!$B$16)</f>
        <v>103947.5553</v>
      </c>
      <c r="U143" s="12">
        <f>$B142*Inputs!$B$15*Curves!C7*(1-Inputs!$B$16)</f>
        <v>66631.45688</v>
      </c>
      <c r="V143" s="12">
        <f>$B142*Inputs!$B$15*Curves!C8*(1-Inputs!$B$16)</f>
        <v>46879.22521</v>
      </c>
      <c r="W143" s="12">
        <f>$B142*Inputs!$B$15*Curves!C9*(1-Inputs!$B$16)</f>
        <v>27871.09714</v>
      </c>
      <c r="X143" s="12">
        <f>$B142*Inputs!$B$15*Curves!C10*(1-Inputs!$B$16)</f>
        <v>24984.36651</v>
      </c>
      <c r="Y143" s="12">
        <f>$B142*Inputs!$B$15*Curves!C11*(1-Inputs!$B$16)</f>
        <v>21577.61086</v>
      </c>
      <c r="Z143" s="12">
        <f>$B142*Inputs!$B$15*Curves!C12*(1-Inputs!$B$16)</f>
        <v>19065.02414</v>
      </c>
      <c r="AA143" s="12">
        <f>$B142*Inputs!$B$15*Curves!C13*(1-Inputs!$B$16)</f>
        <v>17043.36685</v>
      </c>
      <c r="AB143" s="12">
        <f>$B142*Inputs!$B$15*Curves!C14*(1-Inputs!$B$16)</f>
        <v>19805.14658</v>
      </c>
      <c r="AC143" s="12">
        <f>$B142*Inputs!$B$15*Curves!C15*(1-Inputs!$B$16)</f>
        <v>13800</v>
      </c>
      <c r="AD143" s="12">
        <f>$B142*Inputs!$B$15*Curves!C16*(1-Inputs!$B$16)</f>
        <v>13800</v>
      </c>
      <c r="AE143" s="12">
        <f>$B142*Inputs!$B$15*Curves!C17*(1-Inputs!$B$16)</f>
        <v>13800</v>
      </c>
      <c r="AF143" s="12">
        <f>$B142*Inputs!$B$15*Curves!C18*(1-Inputs!$B$16)</f>
        <v>3450</v>
      </c>
      <c r="AG143" s="12">
        <f>$B142*Inputs!$B$15*Curves!C19*(1-Inputs!$B$16)</f>
        <v>3450</v>
      </c>
      <c r="AH143" s="12">
        <f>$B142*Inputs!$B$15*Curves!C20*(1-Inputs!$B$16)</f>
        <v>3450</v>
      </c>
      <c r="AI143" s="12">
        <f>$B142*Inputs!$B$15*Curves!C21*(1-Inputs!$B$16)</f>
        <v>3450</v>
      </c>
      <c r="AJ143" s="12">
        <f>$B142*Inputs!$B$15*Curves!C22*(1-Inputs!$B$16)</f>
        <v>3450</v>
      </c>
      <c r="AK143" s="12">
        <f>$B142*Inputs!$B$15*Curves!C23*(1-Inputs!$B$16)</f>
        <v>3450</v>
      </c>
      <c r="AL143" s="12">
        <f>$B142*Inputs!$B$15*Curves!C24*(1-Inputs!$B$16)</f>
        <v>3450</v>
      </c>
      <c r="AM143" s="12">
        <f>$B142*Inputs!$B$15*Curves!C25*(1-Inputs!$B$16)</f>
        <v>3450</v>
      </c>
    </row>
    <row r="144" ht="15.75" customHeight="1">
      <c r="A144" s="3" t="s">
        <v>148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 t="s">
        <v>149</v>
      </c>
      <c r="T144" s="3" t="str">
        <f t="shared" ref="T144:AM144" si="76">IF($B142=0, "N", IF(S147&gt;=$B142, "Y", "N"))</f>
        <v>N</v>
      </c>
      <c r="U144" s="3" t="str">
        <f t="shared" si="76"/>
        <v>N</v>
      </c>
      <c r="V144" s="3" t="str">
        <f t="shared" si="76"/>
        <v>N</v>
      </c>
      <c r="W144" s="3" t="str">
        <f t="shared" si="76"/>
        <v>Y</v>
      </c>
      <c r="X144" s="3" t="str">
        <f t="shared" si="76"/>
        <v>Y</v>
      </c>
      <c r="Y144" s="3" t="str">
        <f t="shared" si="76"/>
        <v>Y</v>
      </c>
      <c r="Z144" s="3" t="str">
        <f t="shared" si="76"/>
        <v>Y</v>
      </c>
      <c r="AA144" s="3" t="str">
        <f t="shared" si="76"/>
        <v>Y</v>
      </c>
      <c r="AB144" s="3" t="str">
        <f t="shared" si="76"/>
        <v>Y</v>
      </c>
      <c r="AC144" s="3" t="str">
        <f t="shared" si="76"/>
        <v>Y</v>
      </c>
      <c r="AD144" s="3" t="str">
        <f t="shared" si="76"/>
        <v>Y</v>
      </c>
      <c r="AE144" s="3" t="str">
        <f t="shared" si="76"/>
        <v>Y</v>
      </c>
      <c r="AF144" s="3" t="str">
        <f t="shared" si="76"/>
        <v>Y</v>
      </c>
      <c r="AG144" s="3" t="str">
        <f t="shared" si="76"/>
        <v>Y</v>
      </c>
      <c r="AH144" s="3" t="str">
        <f t="shared" si="76"/>
        <v>Y</v>
      </c>
      <c r="AI144" s="3" t="str">
        <f t="shared" si="76"/>
        <v>Y</v>
      </c>
      <c r="AJ144" s="3" t="str">
        <f t="shared" si="76"/>
        <v>Y</v>
      </c>
      <c r="AK144" s="3" t="str">
        <f t="shared" si="76"/>
        <v>Y</v>
      </c>
      <c r="AL144" s="3" t="str">
        <f t="shared" si="76"/>
        <v>Y</v>
      </c>
      <c r="AM144" s="3" t="str">
        <f t="shared" si="76"/>
        <v>Y</v>
      </c>
    </row>
    <row r="145" ht="15.75" customHeight="1">
      <c r="A145" s="3" t="s">
        <v>150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12">
        <v>0.0</v>
      </c>
      <c r="T145" s="12">
        <f>IF(AND(T144="Y", S148="N"), $B142*Inputs!$B$12/12, 0)</f>
        <v>0</v>
      </c>
      <c r="U145" s="12">
        <f>IF(AND(U144="Y", T148="N"), $B142*Inputs!$B$12/12, 0)</f>
        <v>0</v>
      </c>
      <c r="V145" s="12">
        <f>IF(AND(V144="Y", U148="N"), $B142*Inputs!$B$12/12, 0)</f>
        <v>0</v>
      </c>
      <c r="W145" s="12">
        <f>IF(AND(W144="Y", V148="N"), $B142*Inputs!$B$12/12, 0)</f>
        <v>0</v>
      </c>
      <c r="X145" s="12">
        <f>IF(AND(X144="Y", W148="N"), $B142*Inputs!$B$12/12, 0)</f>
        <v>0</v>
      </c>
      <c r="Y145" s="12">
        <f>IF(AND(Y144="Y", X148="N"), $B142*Inputs!$B$12/12, 0)</f>
        <v>0</v>
      </c>
      <c r="Z145" s="12">
        <f>IF(AND(Z144="Y", Y148="N"), $B142*Inputs!$B$12/12, 0)</f>
        <v>0</v>
      </c>
      <c r="AA145" s="12">
        <f>IF(AND(AA144="Y", Z148="N"), $B142*Inputs!$B$12/12, 0)</f>
        <v>0</v>
      </c>
      <c r="AB145" s="12">
        <f>IF(AND(AB144="Y", AA148="N"), $B142*Inputs!$B$12/12, 0)</f>
        <v>0</v>
      </c>
      <c r="AC145" s="12">
        <f>IF(AND(AC144="Y", AB148="N"), $B142*Inputs!$B$12/12, 0)</f>
        <v>0</v>
      </c>
      <c r="AD145" s="12">
        <f>IF(AND(AD144="Y", AC148="N"), $B142*Inputs!$B$12/12, 0)</f>
        <v>0</v>
      </c>
      <c r="AE145" s="12">
        <f>IF(AND(AE144="Y", AD148="N"), $B142*Inputs!$B$12/12, 0)</f>
        <v>0</v>
      </c>
      <c r="AF145" s="12">
        <f>IF(AND(AF144="Y", AE148="N"), $B142*Inputs!$B$12/12, 0)</f>
        <v>0</v>
      </c>
      <c r="AG145" s="12">
        <f>IF(AND(AG144="Y", AF148="N"), $B142*Inputs!$B$12/12, 0)</f>
        <v>0</v>
      </c>
      <c r="AH145" s="12">
        <f>IF(AND(AH144="Y", AG148="N"), $B142*Inputs!$B$12/12, 0)</f>
        <v>0</v>
      </c>
      <c r="AI145" s="12">
        <f>IF(AND(AI144="Y", AH148="N"), $B142*Inputs!$B$12/12, 0)</f>
        <v>0</v>
      </c>
      <c r="AJ145" s="12">
        <f>IF(AND(AJ144="Y", AI148="N"), $B142*Inputs!$B$12/12, 0)</f>
        <v>0</v>
      </c>
      <c r="AK145" s="12">
        <f>IF(AND(AK144="Y", AJ148="N"), $B142*Inputs!$B$12/12, 0)</f>
        <v>0</v>
      </c>
      <c r="AL145" s="12">
        <f>IF(AND(AL144="Y", AK148="N"), $B142*Inputs!$B$12/12, 0)</f>
        <v>0</v>
      </c>
      <c r="AM145" s="12">
        <f>IF(AND(AM144="Y", AL148="N"), $B142*Inputs!$B$12/12, 0)</f>
        <v>0</v>
      </c>
    </row>
    <row r="146" ht="15.75" customHeight="1">
      <c r="A146" s="3" t="s">
        <v>151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12">
        <f>IF($B142=0, 0, MIN(S143, $C142))</f>
        <v>217995.1505</v>
      </c>
      <c r="T146" s="12">
        <f t="shared" ref="T146:AM146" si="77">IF($B142=0, 0, IF(S148="Y", 0, IF(T144="N", MIN(T143, $C142-S147), MIN(T143*0.5+T145, $C142-S147))))</f>
        <v>103947.5553</v>
      </c>
      <c r="U146" s="12">
        <f t="shared" si="77"/>
        <v>66631.45688</v>
      </c>
      <c r="V146" s="12">
        <f t="shared" si="77"/>
        <v>31425.83729</v>
      </c>
      <c r="W146" s="12">
        <f t="shared" si="77"/>
        <v>0</v>
      </c>
      <c r="X146" s="12">
        <f t="shared" si="77"/>
        <v>0</v>
      </c>
      <c r="Y146" s="12">
        <f t="shared" si="77"/>
        <v>0</v>
      </c>
      <c r="Z146" s="12">
        <f t="shared" si="77"/>
        <v>0</v>
      </c>
      <c r="AA146" s="12">
        <f t="shared" si="77"/>
        <v>0</v>
      </c>
      <c r="AB146" s="12">
        <f t="shared" si="77"/>
        <v>0</v>
      </c>
      <c r="AC146" s="12">
        <f t="shared" si="77"/>
        <v>0</v>
      </c>
      <c r="AD146" s="12">
        <f t="shared" si="77"/>
        <v>0</v>
      </c>
      <c r="AE146" s="12">
        <f t="shared" si="77"/>
        <v>0</v>
      </c>
      <c r="AF146" s="12">
        <f t="shared" si="77"/>
        <v>0</v>
      </c>
      <c r="AG146" s="12">
        <f t="shared" si="77"/>
        <v>0</v>
      </c>
      <c r="AH146" s="12">
        <f t="shared" si="77"/>
        <v>0</v>
      </c>
      <c r="AI146" s="12">
        <f t="shared" si="77"/>
        <v>0</v>
      </c>
      <c r="AJ146" s="12">
        <f t="shared" si="77"/>
        <v>0</v>
      </c>
      <c r="AK146" s="12">
        <f t="shared" si="77"/>
        <v>0</v>
      </c>
      <c r="AL146" s="12">
        <f t="shared" si="77"/>
        <v>0</v>
      </c>
      <c r="AM146" s="12">
        <f t="shared" si="77"/>
        <v>0</v>
      </c>
    </row>
    <row r="147" ht="15.75" customHeight="1">
      <c r="A147" s="3" t="s">
        <v>152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12">
        <f>S146</f>
        <v>217995.1505</v>
      </c>
      <c r="T147" s="12">
        <f t="shared" ref="T147:AM147" si="78">S147+T146</f>
        <v>321942.7058</v>
      </c>
      <c r="U147" s="12">
        <f t="shared" si="78"/>
        <v>388574.1627</v>
      </c>
      <c r="V147" s="12">
        <f t="shared" si="78"/>
        <v>420000</v>
      </c>
      <c r="W147" s="12">
        <f t="shared" si="78"/>
        <v>420000</v>
      </c>
      <c r="X147" s="12">
        <f t="shared" si="78"/>
        <v>420000</v>
      </c>
      <c r="Y147" s="12">
        <f t="shared" si="78"/>
        <v>420000</v>
      </c>
      <c r="Z147" s="12">
        <f t="shared" si="78"/>
        <v>420000</v>
      </c>
      <c r="AA147" s="12">
        <f t="shared" si="78"/>
        <v>420000</v>
      </c>
      <c r="AB147" s="12">
        <f t="shared" si="78"/>
        <v>420000</v>
      </c>
      <c r="AC147" s="12">
        <f t="shared" si="78"/>
        <v>420000</v>
      </c>
      <c r="AD147" s="12">
        <f t="shared" si="78"/>
        <v>420000</v>
      </c>
      <c r="AE147" s="12">
        <f t="shared" si="78"/>
        <v>420000</v>
      </c>
      <c r="AF147" s="12">
        <f t="shared" si="78"/>
        <v>420000</v>
      </c>
      <c r="AG147" s="12">
        <f t="shared" si="78"/>
        <v>420000</v>
      </c>
      <c r="AH147" s="12">
        <f t="shared" si="78"/>
        <v>420000</v>
      </c>
      <c r="AI147" s="12">
        <f t="shared" si="78"/>
        <v>420000</v>
      </c>
      <c r="AJ147" s="12">
        <f t="shared" si="78"/>
        <v>420000</v>
      </c>
      <c r="AK147" s="12">
        <f t="shared" si="78"/>
        <v>420000</v>
      </c>
      <c r="AL147" s="12">
        <f t="shared" si="78"/>
        <v>420000</v>
      </c>
      <c r="AM147" s="12">
        <f t="shared" si="78"/>
        <v>420000</v>
      </c>
    </row>
    <row r="148" ht="15.75" customHeight="1">
      <c r="A148" s="3" t="s">
        <v>153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 t="str">
        <f t="shared" ref="S148:AM148" si="79">IF(S147&gt;=$C142, "Y", "N")</f>
        <v>N</v>
      </c>
      <c r="T148" s="3" t="str">
        <f t="shared" si="79"/>
        <v>N</v>
      </c>
      <c r="U148" s="3" t="str">
        <f t="shared" si="79"/>
        <v>N</v>
      </c>
      <c r="V148" s="3" t="str">
        <f t="shared" si="79"/>
        <v>Y</v>
      </c>
      <c r="W148" s="3" t="str">
        <f t="shared" si="79"/>
        <v>Y</v>
      </c>
      <c r="X148" s="3" t="str">
        <f t="shared" si="79"/>
        <v>Y</v>
      </c>
      <c r="Y148" s="3" t="str">
        <f t="shared" si="79"/>
        <v>Y</v>
      </c>
      <c r="Z148" s="3" t="str">
        <f t="shared" si="79"/>
        <v>Y</v>
      </c>
      <c r="AA148" s="3" t="str">
        <f t="shared" si="79"/>
        <v>Y</v>
      </c>
      <c r="AB148" s="3" t="str">
        <f t="shared" si="79"/>
        <v>Y</v>
      </c>
      <c r="AC148" s="3" t="str">
        <f t="shared" si="79"/>
        <v>Y</v>
      </c>
      <c r="AD148" s="3" t="str">
        <f t="shared" si="79"/>
        <v>Y</v>
      </c>
      <c r="AE148" s="3" t="str">
        <f t="shared" si="79"/>
        <v>Y</v>
      </c>
      <c r="AF148" s="3" t="str">
        <f t="shared" si="79"/>
        <v>Y</v>
      </c>
      <c r="AG148" s="3" t="str">
        <f t="shared" si="79"/>
        <v>Y</v>
      </c>
      <c r="AH148" s="3" t="str">
        <f t="shared" si="79"/>
        <v>Y</v>
      </c>
      <c r="AI148" s="3" t="str">
        <f t="shared" si="79"/>
        <v>Y</v>
      </c>
      <c r="AJ148" s="3" t="str">
        <f t="shared" si="79"/>
        <v>Y</v>
      </c>
      <c r="AK148" s="3" t="str">
        <f t="shared" si="79"/>
        <v>Y</v>
      </c>
      <c r="AL148" s="3" t="str">
        <f t="shared" si="79"/>
        <v>Y</v>
      </c>
      <c r="AM148" s="3" t="str">
        <f t="shared" si="79"/>
        <v>Y</v>
      </c>
    </row>
    <row r="149" ht="15.75" customHeight="1">
      <c r="A149" s="3" t="s">
        <v>154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12">
        <f t="shared" ref="S149:AM149" si="80">S143-S146</f>
        <v>0</v>
      </c>
      <c r="T149" s="12">
        <f t="shared" si="80"/>
        <v>0</v>
      </c>
      <c r="U149" s="12">
        <f t="shared" si="80"/>
        <v>0</v>
      </c>
      <c r="V149" s="12">
        <f t="shared" si="80"/>
        <v>15453.38792</v>
      </c>
      <c r="W149" s="12">
        <f t="shared" si="80"/>
        <v>27871.09714</v>
      </c>
      <c r="X149" s="12">
        <f t="shared" si="80"/>
        <v>24984.36651</v>
      </c>
      <c r="Y149" s="12">
        <f t="shared" si="80"/>
        <v>21577.61086</v>
      </c>
      <c r="Z149" s="12">
        <f t="shared" si="80"/>
        <v>19065.02414</v>
      </c>
      <c r="AA149" s="12">
        <f t="shared" si="80"/>
        <v>17043.36685</v>
      </c>
      <c r="AB149" s="12">
        <f t="shared" si="80"/>
        <v>19805.14658</v>
      </c>
      <c r="AC149" s="12">
        <f t="shared" si="80"/>
        <v>13800</v>
      </c>
      <c r="AD149" s="12">
        <f t="shared" si="80"/>
        <v>13800</v>
      </c>
      <c r="AE149" s="12">
        <f t="shared" si="80"/>
        <v>13800</v>
      </c>
      <c r="AF149" s="12">
        <f t="shared" si="80"/>
        <v>3450</v>
      </c>
      <c r="AG149" s="12">
        <f t="shared" si="80"/>
        <v>3450</v>
      </c>
      <c r="AH149" s="12">
        <f t="shared" si="80"/>
        <v>3450</v>
      </c>
      <c r="AI149" s="12">
        <f t="shared" si="80"/>
        <v>3450</v>
      </c>
      <c r="AJ149" s="12">
        <f t="shared" si="80"/>
        <v>3450</v>
      </c>
      <c r="AK149" s="12">
        <f t="shared" si="80"/>
        <v>3450</v>
      </c>
      <c r="AL149" s="12">
        <f t="shared" si="80"/>
        <v>3450</v>
      </c>
      <c r="AM149" s="12">
        <f t="shared" si="80"/>
        <v>3450</v>
      </c>
    </row>
    <row r="150" ht="15.75" customHeight="1"/>
    <row r="151" ht="15.75" customHeight="1">
      <c r="A151" s="2" t="str">
        <f>Acquisition_Plan!A20</f>
        <v>2027-05-27</v>
      </c>
      <c r="B151" s="12">
        <f>Acquisition_Plan!E20</f>
        <v>400000</v>
      </c>
      <c r="C151" s="12">
        <f>B151*(1+Inputs!$B$12)</f>
        <v>420000</v>
      </c>
    </row>
    <row r="152" ht="15.75" customHeight="1">
      <c r="A152" s="3" t="s">
        <v>147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12">
        <f>$B151*Inputs!$B$15*Curves!C5*(1-Inputs!$B$16)</f>
        <v>217995.1505</v>
      </c>
      <c r="U152" s="12">
        <f>$B151*Inputs!$B$15*Curves!C6*(1-Inputs!$B$16)</f>
        <v>103947.5553</v>
      </c>
      <c r="V152" s="12">
        <f>$B151*Inputs!$B$15*Curves!C7*(1-Inputs!$B$16)</f>
        <v>66631.45688</v>
      </c>
      <c r="W152" s="12">
        <f>$B151*Inputs!$B$15*Curves!C8*(1-Inputs!$B$16)</f>
        <v>46879.22521</v>
      </c>
      <c r="X152" s="12">
        <f>$B151*Inputs!$B$15*Curves!C9*(1-Inputs!$B$16)</f>
        <v>27871.09714</v>
      </c>
      <c r="Y152" s="12">
        <f>$B151*Inputs!$B$15*Curves!C10*(1-Inputs!$B$16)</f>
        <v>24984.36651</v>
      </c>
      <c r="Z152" s="12">
        <f>$B151*Inputs!$B$15*Curves!C11*(1-Inputs!$B$16)</f>
        <v>21577.61086</v>
      </c>
      <c r="AA152" s="12">
        <f>$B151*Inputs!$B$15*Curves!C12*(1-Inputs!$B$16)</f>
        <v>19065.02414</v>
      </c>
      <c r="AB152" s="12">
        <f>$B151*Inputs!$B$15*Curves!C13*(1-Inputs!$B$16)</f>
        <v>17043.36685</v>
      </c>
      <c r="AC152" s="12">
        <f>$B151*Inputs!$B$15*Curves!C14*(1-Inputs!$B$16)</f>
        <v>19805.14658</v>
      </c>
      <c r="AD152" s="12">
        <f>$B151*Inputs!$B$15*Curves!C15*(1-Inputs!$B$16)</f>
        <v>13800</v>
      </c>
      <c r="AE152" s="12">
        <f>$B151*Inputs!$B$15*Curves!C16*(1-Inputs!$B$16)</f>
        <v>13800</v>
      </c>
      <c r="AF152" s="12">
        <f>$B151*Inputs!$B$15*Curves!C17*(1-Inputs!$B$16)</f>
        <v>13800</v>
      </c>
      <c r="AG152" s="12">
        <f>$B151*Inputs!$B$15*Curves!C18*(1-Inputs!$B$16)</f>
        <v>3450</v>
      </c>
      <c r="AH152" s="12">
        <f>$B151*Inputs!$B$15*Curves!C19*(1-Inputs!$B$16)</f>
        <v>3450</v>
      </c>
      <c r="AI152" s="12">
        <f>$B151*Inputs!$B$15*Curves!C20*(1-Inputs!$B$16)</f>
        <v>3450</v>
      </c>
      <c r="AJ152" s="12">
        <f>$B151*Inputs!$B$15*Curves!C21*(1-Inputs!$B$16)</f>
        <v>3450</v>
      </c>
      <c r="AK152" s="12">
        <f>$B151*Inputs!$B$15*Curves!C22*(1-Inputs!$B$16)</f>
        <v>3450</v>
      </c>
      <c r="AL152" s="12">
        <f>$B151*Inputs!$B$15*Curves!C23*(1-Inputs!$B$16)</f>
        <v>3450</v>
      </c>
      <c r="AM152" s="12">
        <f>$B151*Inputs!$B$15*Curves!C24*(1-Inputs!$B$16)</f>
        <v>3450</v>
      </c>
    </row>
    <row r="153" ht="15.75" customHeight="1">
      <c r="A153" s="3" t="s">
        <v>148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 t="s">
        <v>149</v>
      </c>
      <c r="U153" s="3" t="str">
        <f t="shared" ref="U153:AM153" si="81">IF($B151=0, "N", IF(T156&gt;=$B151, "Y", "N"))</f>
        <v>N</v>
      </c>
      <c r="V153" s="3" t="str">
        <f t="shared" si="81"/>
        <v>N</v>
      </c>
      <c r="W153" s="3" t="str">
        <f t="shared" si="81"/>
        <v>N</v>
      </c>
      <c r="X153" s="3" t="str">
        <f t="shared" si="81"/>
        <v>Y</v>
      </c>
      <c r="Y153" s="3" t="str">
        <f t="shared" si="81"/>
        <v>Y</v>
      </c>
      <c r="Z153" s="3" t="str">
        <f t="shared" si="81"/>
        <v>Y</v>
      </c>
      <c r="AA153" s="3" t="str">
        <f t="shared" si="81"/>
        <v>Y</v>
      </c>
      <c r="AB153" s="3" t="str">
        <f t="shared" si="81"/>
        <v>Y</v>
      </c>
      <c r="AC153" s="3" t="str">
        <f t="shared" si="81"/>
        <v>Y</v>
      </c>
      <c r="AD153" s="3" t="str">
        <f t="shared" si="81"/>
        <v>Y</v>
      </c>
      <c r="AE153" s="3" t="str">
        <f t="shared" si="81"/>
        <v>Y</v>
      </c>
      <c r="AF153" s="3" t="str">
        <f t="shared" si="81"/>
        <v>Y</v>
      </c>
      <c r="AG153" s="3" t="str">
        <f t="shared" si="81"/>
        <v>Y</v>
      </c>
      <c r="AH153" s="3" t="str">
        <f t="shared" si="81"/>
        <v>Y</v>
      </c>
      <c r="AI153" s="3" t="str">
        <f t="shared" si="81"/>
        <v>Y</v>
      </c>
      <c r="AJ153" s="3" t="str">
        <f t="shared" si="81"/>
        <v>Y</v>
      </c>
      <c r="AK153" s="3" t="str">
        <f t="shared" si="81"/>
        <v>Y</v>
      </c>
      <c r="AL153" s="3" t="str">
        <f t="shared" si="81"/>
        <v>Y</v>
      </c>
      <c r="AM153" s="3" t="str">
        <f t="shared" si="81"/>
        <v>Y</v>
      </c>
    </row>
    <row r="154" ht="15.75" customHeight="1">
      <c r="A154" s="3" t="s">
        <v>150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12">
        <v>0.0</v>
      </c>
      <c r="U154" s="12">
        <f>IF(AND(U153="Y", T157="N"), $B151*Inputs!$B$12/12, 0)</f>
        <v>0</v>
      </c>
      <c r="V154" s="12">
        <f>IF(AND(V153="Y", U157="N"), $B151*Inputs!$B$12/12, 0)</f>
        <v>0</v>
      </c>
      <c r="W154" s="12">
        <f>IF(AND(W153="Y", V157="N"), $B151*Inputs!$B$12/12, 0)</f>
        <v>0</v>
      </c>
      <c r="X154" s="12">
        <f>IF(AND(X153="Y", W157="N"), $B151*Inputs!$B$12/12, 0)</f>
        <v>0</v>
      </c>
      <c r="Y154" s="12">
        <f>IF(AND(Y153="Y", X157="N"), $B151*Inputs!$B$12/12, 0)</f>
        <v>0</v>
      </c>
      <c r="Z154" s="12">
        <f>IF(AND(Z153="Y", Y157="N"), $B151*Inputs!$B$12/12, 0)</f>
        <v>0</v>
      </c>
      <c r="AA154" s="12">
        <f>IF(AND(AA153="Y", Z157="N"), $B151*Inputs!$B$12/12, 0)</f>
        <v>0</v>
      </c>
      <c r="AB154" s="12">
        <f>IF(AND(AB153="Y", AA157="N"), $B151*Inputs!$B$12/12, 0)</f>
        <v>0</v>
      </c>
      <c r="AC154" s="12">
        <f>IF(AND(AC153="Y", AB157="N"), $B151*Inputs!$B$12/12, 0)</f>
        <v>0</v>
      </c>
      <c r="AD154" s="12">
        <f>IF(AND(AD153="Y", AC157="N"), $B151*Inputs!$B$12/12, 0)</f>
        <v>0</v>
      </c>
      <c r="AE154" s="12">
        <f>IF(AND(AE153="Y", AD157="N"), $B151*Inputs!$B$12/12, 0)</f>
        <v>0</v>
      </c>
      <c r="AF154" s="12">
        <f>IF(AND(AF153="Y", AE157="N"), $B151*Inputs!$B$12/12, 0)</f>
        <v>0</v>
      </c>
      <c r="AG154" s="12">
        <f>IF(AND(AG153="Y", AF157="N"), $B151*Inputs!$B$12/12, 0)</f>
        <v>0</v>
      </c>
      <c r="AH154" s="12">
        <f>IF(AND(AH153="Y", AG157="N"), $B151*Inputs!$B$12/12, 0)</f>
        <v>0</v>
      </c>
      <c r="AI154" s="12">
        <f>IF(AND(AI153="Y", AH157="N"), $B151*Inputs!$B$12/12, 0)</f>
        <v>0</v>
      </c>
      <c r="AJ154" s="12">
        <f>IF(AND(AJ153="Y", AI157="N"), $B151*Inputs!$B$12/12, 0)</f>
        <v>0</v>
      </c>
      <c r="AK154" s="12">
        <f>IF(AND(AK153="Y", AJ157="N"), $B151*Inputs!$B$12/12, 0)</f>
        <v>0</v>
      </c>
      <c r="AL154" s="12">
        <f>IF(AND(AL153="Y", AK157="N"), $B151*Inputs!$B$12/12, 0)</f>
        <v>0</v>
      </c>
      <c r="AM154" s="12">
        <f>IF(AND(AM153="Y", AL157="N"), $B151*Inputs!$B$12/12, 0)</f>
        <v>0</v>
      </c>
    </row>
    <row r="155" ht="15.75" customHeight="1">
      <c r="A155" s="3" t="s">
        <v>151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12">
        <f>IF($B151=0, 0, MIN(T152, $C151))</f>
        <v>217995.1505</v>
      </c>
      <c r="U155" s="12">
        <f t="shared" ref="U155:AM155" si="82">IF($B151=0, 0, IF(T157="Y", 0, IF(U153="N", MIN(U152, $C151-T156), MIN(U152*0.5+U154, $C151-T156))))</f>
        <v>103947.5553</v>
      </c>
      <c r="V155" s="12">
        <f t="shared" si="82"/>
        <v>66631.45688</v>
      </c>
      <c r="W155" s="12">
        <f t="shared" si="82"/>
        <v>31425.83729</v>
      </c>
      <c r="X155" s="12">
        <f t="shared" si="82"/>
        <v>0</v>
      </c>
      <c r="Y155" s="12">
        <f t="shared" si="82"/>
        <v>0</v>
      </c>
      <c r="Z155" s="12">
        <f t="shared" si="82"/>
        <v>0</v>
      </c>
      <c r="AA155" s="12">
        <f t="shared" si="82"/>
        <v>0</v>
      </c>
      <c r="AB155" s="12">
        <f t="shared" si="82"/>
        <v>0</v>
      </c>
      <c r="AC155" s="12">
        <f t="shared" si="82"/>
        <v>0</v>
      </c>
      <c r="AD155" s="12">
        <f t="shared" si="82"/>
        <v>0</v>
      </c>
      <c r="AE155" s="12">
        <f t="shared" si="82"/>
        <v>0</v>
      </c>
      <c r="AF155" s="12">
        <f t="shared" si="82"/>
        <v>0</v>
      </c>
      <c r="AG155" s="12">
        <f t="shared" si="82"/>
        <v>0</v>
      </c>
      <c r="AH155" s="12">
        <f t="shared" si="82"/>
        <v>0</v>
      </c>
      <c r="AI155" s="12">
        <f t="shared" si="82"/>
        <v>0</v>
      </c>
      <c r="AJ155" s="12">
        <f t="shared" si="82"/>
        <v>0</v>
      </c>
      <c r="AK155" s="12">
        <f t="shared" si="82"/>
        <v>0</v>
      </c>
      <c r="AL155" s="12">
        <f t="shared" si="82"/>
        <v>0</v>
      </c>
      <c r="AM155" s="12">
        <f t="shared" si="82"/>
        <v>0</v>
      </c>
    </row>
    <row r="156" ht="15.75" customHeight="1">
      <c r="A156" s="3" t="s">
        <v>152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12">
        <f>T155</f>
        <v>217995.1505</v>
      </c>
      <c r="U156" s="12">
        <f t="shared" ref="U156:AM156" si="83">T156+U155</f>
        <v>321942.7058</v>
      </c>
      <c r="V156" s="12">
        <f t="shared" si="83"/>
        <v>388574.1627</v>
      </c>
      <c r="W156" s="12">
        <f t="shared" si="83"/>
        <v>420000</v>
      </c>
      <c r="X156" s="12">
        <f t="shared" si="83"/>
        <v>420000</v>
      </c>
      <c r="Y156" s="12">
        <f t="shared" si="83"/>
        <v>420000</v>
      </c>
      <c r="Z156" s="12">
        <f t="shared" si="83"/>
        <v>420000</v>
      </c>
      <c r="AA156" s="12">
        <f t="shared" si="83"/>
        <v>420000</v>
      </c>
      <c r="AB156" s="12">
        <f t="shared" si="83"/>
        <v>420000</v>
      </c>
      <c r="AC156" s="12">
        <f t="shared" si="83"/>
        <v>420000</v>
      </c>
      <c r="AD156" s="12">
        <f t="shared" si="83"/>
        <v>420000</v>
      </c>
      <c r="AE156" s="12">
        <f t="shared" si="83"/>
        <v>420000</v>
      </c>
      <c r="AF156" s="12">
        <f t="shared" si="83"/>
        <v>420000</v>
      </c>
      <c r="AG156" s="12">
        <f t="shared" si="83"/>
        <v>420000</v>
      </c>
      <c r="AH156" s="12">
        <f t="shared" si="83"/>
        <v>420000</v>
      </c>
      <c r="AI156" s="12">
        <f t="shared" si="83"/>
        <v>420000</v>
      </c>
      <c r="AJ156" s="12">
        <f t="shared" si="83"/>
        <v>420000</v>
      </c>
      <c r="AK156" s="12">
        <f t="shared" si="83"/>
        <v>420000</v>
      </c>
      <c r="AL156" s="12">
        <f t="shared" si="83"/>
        <v>420000</v>
      </c>
      <c r="AM156" s="12">
        <f t="shared" si="83"/>
        <v>420000</v>
      </c>
    </row>
    <row r="157" ht="15.75" customHeight="1">
      <c r="A157" s="3" t="s">
        <v>153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 t="str">
        <f t="shared" ref="T157:AM157" si="84">IF(T156&gt;=$C151, "Y", "N")</f>
        <v>N</v>
      </c>
      <c r="U157" s="3" t="str">
        <f t="shared" si="84"/>
        <v>N</v>
      </c>
      <c r="V157" s="3" t="str">
        <f t="shared" si="84"/>
        <v>N</v>
      </c>
      <c r="W157" s="3" t="str">
        <f t="shared" si="84"/>
        <v>Y</v>
      </c>
      <c r="X157" s="3" t="str">
        <f t="shared" si="84"/>
        <v>Y</v>
      </c>
      <c r="Y157" s="3" t="str">
        <f t="shared" si="84"/>
        <v>Y</v>
      </c>
      <c r="Z157" s="3" t="str">
        <f t="shared" si="84"/>
        <v>Y</v>
      </c>
      <c r="AA157" s="3" t="str">
        <f t="shared" si="84"/>
        <v>Y</v>
      </c>
      <c r="AB157" s="3" t="str">
        <f t="shared" si="84"/>
        <v>Y</v>
      </c>
      <c r="AC157" s="3" t="str">
        <f t="shared" si="84"/>
        <v>Y</v>
      </c>
      <c r="AD157" s="3" t="str">
        <f t="shared" si="84"/>
        <v>Y</v>
      </c>
      <c r="AE157" s="3" t="str">
        <f t="shared" si="84"/>
        <v>Y</v>
      </c>
      <c r="AF157" s="3" t="str">
        <f t="shared" si="84"/>
        <v>Y</v>
      </c>
      <c r="AG157" s="3" t="str">
        <f t="shared" si="84"/>
        <v>Y</v>
      </c>
      <c r="AH157" s="3" t="str">
        <f t="shared" si="84"/>
        <v>Y</v>
      </c>
      <c r="AI157" s="3" t="str">
        <f t="shared" si="84"/>
        <v>Y</v>
      </c>
      <c r="AJ157" s="3" t="str">
        <f t="shared" si="84"/>
        <v>Y</v>
      </c>
      <c r="AK157" s="3" t="str">
        <f t="shared" si="84"/>
        <v>Y</v>
      </c>
      <c r="AL157" s="3" t="str">
        <f t="shared" si="84"/>
        <v>Y</v>
      </c>
      <c r="AM157" s="3" t="str">
        <f t="shared" si="84"/>
        <v>Y</v>
      </c>
    </row>
    <row r="158" ht="15.75" customHeight="1">
      <c r="A158" s="3" t="s">
        <v>154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12">
        <f t="shared" ref="T158:AM158" si="85">T152-T155</f>
        <v>0</v>
      </c>
      <c r="U158" s="12">
        <f t="shared" si="85"/>
        <v>0</v>
      </c>
      <c r="V158" s="12">
        <f t="shared" si="85"/>
        <v>0</v>
      </c>
      <c r="W158" s="12">
        <f t="shared" si="85"/>
        <v>15453.38792</v>
      </c>
      <c r="X158" s="12">
        <f t="shared" si="85"/>
        <v>27871.09714</v>
      </c>
      <c r="Y158" s="12">
        <f t="shared" si="85"/>
        <v>24984.36651</v>
      </c>
      <c r="Z158" s="12">
        <f t="shared" si="85"/>
        <v>21577.61086</v>
      </c>
      <c r="AA158" s="12">
        <f t="shared" si="85"/>
        <v>19065.02414</v>
      </c>
      <c r="AB158" s="12">
        <f t="shared" si="85"/>
        <v>17043.36685</v>
      </c>
      <c r="AC158" s="12">
        <f t="shared" si="85"/>
        <v>19805.14658</v>
      </c>
      <c r="AD158" s="12">
        <f t="shared" si="85"/>
        <v>13800</v>
      </c>
      <c r="AE158" s="12">
        <f t="shared" si="85"/>
        <v>13800</v>
      </c>
      <c r="AF158" s="12">
        <f t="shared" si="85"/>
        <v>13800</v>
      </c>
      <c r="AG158" s="12">
        <f t="shared" si="85"/>
        <v>3450</v>
      </c>
      <c r="AH158" s="12">
        <f t="shared" si="85"/>
        <v>3450</v>
      </c>
      <c r="AI158" s="12">
        <f t="shared" si="85"/>
        <v>3450</v>
      </c>
      <c r="AJ158" s="12">
        <f t="shared" si="85"/>
        <v>3450</v>
      </c>
      <c r="AK158" s="12">
        <f t="shared" si="85"/>
        <v>3450</v>
      </c>
      <c r="AL158" s="12">
        <f t="shared" si="85"/>
        <v>3450</v>
      </c>
      <c r="AM158" s="12">
        <f t="shared" si="85"/>
        <v>3450</v>
      </c>
    </row>
    <row r="159" ht="15.75" customHeight="1"/>
    <row r="160" ht="15.75" customHeight="1">
      <c r="A160" s="2" t="str">
        <f>Acquisition_Plan!A21</f>
        <v>2027-06-26</v>
      </c>
      <c r="B160" s="12">
        <f>Acquisition_Plan!E21</f>
        <v>400000</v>
      </c>
      <c r="C160" s="12">
        <f>B160*(1+Inputs!$B$12)</f>
        <v>420000</v>
      </c>
    </row>
    <row r="161" ht="15.75" customHeight="1">
      <c r="A161" s="3" t="s">
        <v>147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12">
        <f>$B160*Inputs!$B$15*Curves!C5*(1-Inputs!$B$16)</f>
        <v>217995.1505</v>
      </c>
      <c r="V161" s="12">
        <f>$B160*Inputs!$B$15*Curves!C6*(1-Inputs!$B$16)</f>
        <v>103947.5553</v>
      </c>
      <c r="W161" s="12">
        <f>$B160*Inputs!$B$15*Curves!C7*(1-Inputs!$B$16)</f>
        <v>66631.45688</v>
      </c>
      <c r="X161" s="12">
        <f>$B160*Inputs!$B$15*Curves!C8*(1-Inputs!$B$16)</f>
        <v>46879.22521</v>
      </c>
      <c r="Y161" s="12">
        <f>$B160*Inputs!$B$15*Curves!C9*(1-Inputs!$B$16)</f>
        <v>27871.09714</v>
      </c>
      <c r="Z161" s="12">
        <f>$B160*Inputs!$B$15*Curves!C10*(1-Inputs!$B$16)</f>
        <v>24984.36651</v>
      </c>
      <c r="AA161" s="12">
        <f>$B160*Inputs!$B$15*Curves!C11*(1-Inputs!$B$16)</f>
        <v>21577.61086</v>
      </c>
      <c r="AB161" s="12">
        <f>$B160*Inputs!$B$15*Curves!C12*(1-Inputs!$B$16)</f>
        <v>19065.02414</v>
      </c>
      <c r="AC161" s="12">
        <f>$B160*Inputs!$B$15*Curves!C13*(1-Inputs!$B$16)</f>
        <v>17043.36685</v>
      </c>
      <c r="AD161" s="12">
        <f>$B160*Inputs!$B$15*Curves!C14*(1-Inputs!$B$16)</f>
        <v>19805.14658</v>
      </c>
      <c r="AE161" s="12">
        <f>$B160*Inputs!$B$15*Curves!C15*(1-Inputs!$B$16)</f>
        <v>13800</v>
      </c>
      <c r="AF161" s="12">
        <f>$B160*Inputs!$B$15*Curves!C16*(1-Inputs!$B$16)</f>
        <v>13800</v>
      </c>
      <c r="AG161" s="12">
        <f>$B160*Inputs!$B$15*Curves!C17*(1-Inputs!$B$16)</f>
        <v>13800</v>
      </c>
      <c r="AH161" s="12">
        <f>$B160*Inputs!$B$15*Curves!C18*(1-Inputs!$B$16)</f>
        <v>3450</v>
      </c>
      <c r="AI161" s="12">
        <f>$B160*Inputs!$B$15*Curves!C19*(1-Inputs!$B$16)</f>
        <v>3450</v>
      </c>
      <c r="AJ161" s="12">
        <f>$B160*Inputs!$B$15*Curves!C20*(1-Inputs!$B$16)</f>
        <v>3450</v>
      </c>
      <c r="AK161" s="12">
        <f>$B160*Inputs!$B$15*Curves!C21*(1-Inputs!$B$16)</f>
        <v>3450</v>
      </c>
      <c r="AL161" s="12">
        <f>$B160*Inputs!$B$15*Curves!C22*(1-Inputs!$B$16)</f>
        <v>3450</v>
      </c>
      <c r="AM161" s="12">
        <f>$B160*Inputs!$B$15*Curves!C23*(1-Inputs!$B$16)</f>
        <v>3450</v>
      </c>
    </row>
    <row r="162" ht="15.75" customHeight="1">
      <c r="A162" s="3" t="s">
        <v>148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 t="s">
        <v>149</v>
      </c>
      <c r="V162" s="3" t="str">
        <f t="shared" ref="V162:AM162" si="86">IF($B160=0, "N", IF(U165&gt;=$B160, "Y", "N"))</f>
        <v>N</v>
      </c>
      <c r="W162" s="3" t="str">
        <f t="shared" si="86"/>
        <v>N</v>
      </c>
      <c r="X162" s="3" t="str">
        <f t="shared" si="86"/>
        <v>N</v>
      </c>
      <c r="Y162" s="3" t="str">
        <f t="shared" si="86"/>
        <v>Y</v>
      </c>
      <c r="Z162" s="3" t="str">
        <f t="shared" si="86"/>
        <v>Y</v>
      </c>
      <c r="AA162" s="3" t="str">
        <f t="shared" si="86"/>
        <v>Y</v>
      </c>
      <c r="AB162" s="3" t="str">
        <f t="shared" si="86"/>
        <v>Y</v>
      </c>
      <c r="AC162" s="3" t="str">
        <f t="shared" si="86"/>
        <v>Y</v>
      </c>
      <c r="AD162" s="3" t="str">
        <f t="shared" si="86"/>
        <v>Y</v>
      </c>
      <c r="AE162" s="3" t="str">
        <f t="shared" si="86"/>
        <v>Y</v>
      </c>
      <c r="AF162" s="3" t="str">
        <f t="shared" si="86"/>
        <v>Y</v>
      </c>
      <c r="AG162" s="3" t="str">
        <f t="shared" si="86"/>
        <v>Y</v>
      </c>
      <c r="AH162" s="3" t="str">
        <f t="shared" si="86"/>
        <v>Y</v>
      </c>
      <c r="AI162" s="3" t="str">
        <f t="shared" si="86"/>
        <v>Y</v>
      </c>
      <c r="AJ162" s="3" t="str">
        <f t="shared" si="86"/>
        <v>Y</v>
      </c>
      <c r="AK162" s="3" t="str">
        <f t="shared" si="86"/>
        <v>Y</v>
      </c>
      <c r="AL162" s="3" t="str">
        <f t="shared" si="86"/>
        <v>Y</v>
      </c>
      <c r="AM162" s="3" t="str">
        <f t="shared" si="86"/>
        <v>Y</v>
      </c>
    </row>
    <row r="163" ht="15.75" customHeight="1">
      <c r="A163" s="3" t="s">
        <v>150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12">
        <v>0.0</v>
      </c>
      <c r="V163" s="12">
        <f>IF(AND(V162="Y", U166="N"), $B160*Inputs!$B$12/12, 0)</f>
        <v>0</v>
      </c>
      <c r="W163" s="12">
        <f>IF(AND(W162="Y", V166="N"), $B160*Inputs!$B$12/12, 0)</f>
        <v>0</v>
      </c>
      <c r="X163" s="12">
        <f>IF(AND(X162="Y", W166="N"), $B160*Inputs!$B$12/12, 0)</f>
        <v>0</v>
      </c>
      <c r="Y163" s="12">
        <f>IF(AND(Y162="Y", X166="N"), $B160*Inputs!$B$12/12, 0)</f>
        <v>0</v>
      </c>
      <c r="Z163" s="12">
        <f>IF(AND(Z162="Y", Y166="N"), $B160*Inputs!$B$12/12, 0)</f>
        <v>0</v>
      </c>
      <c r="AA163" s="12">
        <f>IF(AND(AA162="Y", Z166="N"), $B160*Inputs!$B$12/12, 0)</f>
        <v>0</v>
      </c>
      <c r="AB163" s="12">
        <f>IF(AND(AB162="Y", AA166="N"), $B160*Inputs!$B$12/12, 0)</f>
        <v>0</v>
      </c>
      <c r="AC163" s="12">
        <f>IF(AND(AC162="Y", AB166="N"), $B160*Inputs!$B$12/12, 0)</f>
        <v>0</v>
      </c>
      <c r="AD163" s="12">
        <f>IF(AND(AD162="Y", AC166="N"), $B160*Inputs!$B$12/12, 0)</f>
        <v>0</v>
      </c>
      <c r="AE163" s="12">
        <f>IF(AND(AE162="Y", AD166="N"), $B160*Inputs!$B$12/12, 0)</f>
        <v>0</v>
      </c>
      <c r="AF163" s="12">
        <f>IF(AND(AF162="Y", AE166="N"), $B160*Inputs!$B$12/12, 0)</f>
        <v>0</v>
      </c>
      <c r="AG163" s="12">
        <f>IF(AND(AG162="Y", AF166="N"), $B160*Inputs!$B$12/12, 0)</f>
        <v>0</v>
      </c>
      <c r="AH163" s="12">
        <f>IF(AND(AH162="Y", AG166="N"), $B160*Inputs!$B$12/12, 0)</f>
        <v>0</v>
      </c>
      <c r="AI163" s="12">
        <f>IF(AND(AI162="Y", AH166="N"), $B160*Inputs!$B$12/12, 0)</f>
        <v>0</v>
      </c>
      <c r="AJ163" s="12">
        <f>IF(AND(AJ162="Y", AI166="N"), $B160*Inputs!$B$12/12, 0)</f>
        <v>0</v>
      </c>
      <c r="AK163" s="12">
        <f>IF(AND(AK162="Y", AJ166="N"), $B160*Inputs!$B$12/12, 0)</f>
        <v>0</v>
      </c>
      <c r="AL163" s="12">
        <f>IF(AND(AL162="Y", AK166="N"), $B160*Inputs!$B$12/12, 0)</f>
        <v>0</v>
      </c>
      <c r="AM163" s="12">
        <f>IF(AND(AM162="Y", AL166="N"), $B160*Inputs!$B$12/12, 0)</f>
        <v>0</v>
      </c>
    </row>
    <row r="164" ht="15.75" customHeight="1">
      <c r="A164" s="3" t="s">
        <v>151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12">
        <f>IF($B160=0, 0, MIN(U161, $C160))</f>
        <v>217995.1505</v>
      </c>
      <c r="V164" s="12">
        <f t="shared" ref="V164:AM164" si="87">IF($B160=0, 0, IF(U166="Y", 0, IF(V162="N", MIN(V161, $C160-U165), MIN(V161*0.5+V163, $C160-U165))))</f>
        <v>103947.5553</v>
      </c>
      <c r="W164" s="12">
        <f t="shared" si="87"/>
        <v>66631.45688</v>
      </c>
      <c r="X164" s="12">
        <f t="shared" si="87"/>
        <v>31425.83729</v>
      </c>
      <c r="Y164" s="12">
        <f t="shared" si="87"/>
        <v>0</v>
      </c>
      <c r="Z164" s="12">
        <f t="shared" si="87"/>
        <v>0</v>
      </c>
      <c r="AA164" s="12">
        <f t="shared" si="87"/>
        <v>0</v>
      </c>
      <c r="AB164" s="12">
        <f t="shared" si="87"/>
        <v>0</v>
      </c>
      <c r="AC164" s="12">
        <f t="shared" si="87"/>
        <v>0</v>
      </c>
      <c r="AD164" s="12">
        <f t="shared" si="87"/>
        <v>0</v>
      </c>
      <c r="AE164" s="12">
        <f t="shared" si="87"/>
        <v>0</v>
      </c>
      <c r="AF164" s="12">
        <f t="shared" si="87"/>
        <v>0</v>
      </c>
      <c r="AG164" s="12">
        <f t="shared" si="87"/>
        <v>0</v>
      </c>
      <c r="AH164" s="12">
        <f t="shared" si="87"/>
        <v>0</v>
      </c>
      <c r="AI164" s="12">
        <f t="shared" si="87"/>
        <v>0</v>
      </c>
      <c r="AJ164" s="12">
        <f t="shared" si="87"/>
        <v>0</v>
      </c>
      <c r="AK164" s="12">
        <f t="shared" si="87"/>
        <v>0</v>
      </c>
      <c r="AL164" s="12">
        <f t="shared" si="87"/>
        <v>0</v>
      </c>
      <c r="AM164" s="12">
        <f t="shared" si="87"/>
        <v>0</v>
      </c>
    </row>
    <row r="165" ht="15.75" customHeight="1">
      <c r="A165" s="3" t="s">
        <v>152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12">
        <f>U164</f>
        <v>217995.1505</v>
      </c>
      <c r="V165" s="12">
        <f t="shared" ref="V165:AM165" si="88">U165+V164</f>
        <v>321942.7058</v>
      </c>
      <c r="W165" s="12">
        <f t="shared" si="88"/>
        <v>388574.1627</v>
      </c>
      <c r="X165" s="12">
        <f t="shared" si="88"/>
        <v>420000</v>
      </c>
      <c r="Y165" s="12">
        <f t="shared" si="88"/>
        <v>420000</v>
      </c>
      <c r="Z165" s="12">
        <f t="shared" si="88"/>
        <v>420000</v>
      </c>
      <c r="AA165" s="12">
        <f t="shared" si="88"/>
        <v>420000</v>
      </c>
      <c r="AB165" s="12">
        <f t="shared" si="88"/>
        <v>420000</v>
      </c>
      <c r="AC165" s="12">
        <f t="shared" si="88"/>
        <v>420000</v>
      </c>
      <c r="AD165" s="12">
        <f t="shared" si="88"/>
        <v>420000</v>
      </c>
      <c r="AE165" s="12">
        <f t="shared" si="88"/>
        <v>420000</v>
      </c>
      <c r="AF165" s="12">
        <f t="shared" si="88"/>
        <v>420000</v>
      </c>
      <c r="AG165" s="12">
        <f t="shared" si="88"/>
        <v>420000</v>
      </c>
      <c r="AH165" s="12">
        <f t="shared" si="88"/>
        <v>420000</v>
      </c>
      <c r="AI165" s="12">
        <f t="shared" si="88"/>
        <v>420000</v>
      </c>
      <c r="AJ165" s="12">
        <f t="shared" si="88"/>
        <v>420000</v>
      </c>
      <c r="AK165" s="12">
        <f t="shared" si="88"/>
        <v>420000</v>
      </c>
      <c r="AL165" s="12">
        <f t="shared" si="88"/>
        <v>420000</v>
      </c>
      <c r="AM165" s="12">
        <f t="shared" si="88"/>
        <v>420000</v>
      </c>
    </row>
    <row r="166" ht="15.75" customHeight="1">
      <c r="A166" s="3" t="s">
        <v>153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 t="str">
        <f t="shared" ref="U166:AM166" si="89">IF(U165&gt;=$C160, "Y", "N")</f>
        <v>N</v>
      </c>
      <c r="V166" s="3" t="str">
        <f t="shared" si="89"/>
        <v>N</v>
      </c>
      <c r="W166" s="3" t="str">
        <f t="shared" si="89"/>
        <v>N</v>
      </c>
      <c r="X166" s="3" t="str">
        <f t="shared" si="89"/>
        <v>Y</v>
      </c>
      <c r="Y166" s="3" t="str">
        <f t="shared" si="89"/>
        <v>Y</v>
      </c>
      <c r="Z166" s="3" t="str">
        <f t="shared" si="89"/>
        <v>Y</v>
      </c>
      <c r="AA166" s="3" t="str">
        <f t="shared" si="89"/>
        <v>Y</v>
      </c>
      <c r="AB166" s="3" t="str">
        <f t="shared" si="89"/>
        <v>Y</v>
      </c>
      <c r="AC166" s="3" t="str">
        <f t="shared" si="89"/>
        <v>Y</v>
      </c>
      <c r="AD166" s="3" t="str">
        <f t="shared" si="89"/>
        <v>Y</v>
      </c>
      <c r="AE166" s="3" t="str">
        <f t="shared" si="89"/>
        <v>Y</v>
      </c>
      <c r="AF166" s="3" t="str">
        <f t="shared" si="89"/>
        <v>Y</v>
      </c>
      <c r="AG166" s="3" t="str">
        <f t="shared" si="89"/>
        <v>Y</v>
      </c>
      <c r="AH166" s="3" t="str">
        <f t="shared" si="89"/>
        <v>Y</v>
      </c>
      <c r="AI166" s="3" t="str">
        <f t="shared" si="89"/>
        <v>Y</v>
      </c>
      <c r="AJ166" s="3" t="str">
        <f t="shared" si="89"/>
        <v>Y</v>
      </c>
      <c r="AK166" s="3" t="str">
        <f t="shared" si="89"/>
        <v>Y</v>
      </c>
      <c r="AL166" s="3" t="str">
        <f t="shared" si="89"/>
        <v>Y</v>
      </c>
      <c r="AM166" s="3" t="str">
        <f t="shared" si="89"/>
        <v>Y</v>
      </c>
    </row>
    <row r="167" ht="15.75" customHeight="1">
      <c r="A167" s="3" t="s">
        <v>154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12">
        <f t="shared" ref="U167:AM167" si="90">U161-U164</f>
        <v>0</v>
      </c>
      <c r="V167" s="12">
        <f t="shared" si="90"/>
        <v>0</v>
      </c>
      <c r="W167" s="12">
        <f t="shared" si="90"/>
        <v>0</v>
      </c>
      <c r="X167" s="12">
        <f t="shared" si="90"/>
        <v>15453.38792</v>
      </c>
      <c r="Y167" s="12">
        <f t="shared" si="90"/>
        <v>27871.09714</v>
      </c>
      <c r="Z167" s="12">
        <f t="shared" si="90"/>
        <v>24984.36651</v>
      </c>
      <c r="AA167" s="12">
        <f t="shared" si="90"/>
        <v>21577.61086</v>
      </c>
      <c r="AB167" s="12">
        <f t="shared" si="90"/>
        <v>19065.02414</v>
      </c>
      <c r="AC167" s="12">
        <f t="shared" si="90"/>
        <v>17043.36685</v>
      </c>
      <c r="AD167" s="12">
        <f t="shared" si="90"/>
        <v>19805.14658</v>
      </c>
      <c r="AE167" s="12">
        <f t="shared" si="90"/>
        <v>13800</v>
      </c>
      <c r="AF167" s="12">
        <f t="shared" si="90"/>
        <v>13800</v>
      </c>
      <c r="AG167" s="12">
        <f t="shared" si="90"/>
        <v>13800</v>
      </c>
      <c r="AH167" s="12">
        <f t="shared" si="90"/>
        <v>3450</v>
      </c>
      <c r="AI167" s="12">
        <f t="shared" si="90"/>
        <v>3450</v>
      </c>
      <c r="AJ167" s="12">
        <f t="shared" si="90"/>
        <v>3450</v>
      </c>
      <c r="AK167" s="12">
        <f t="shared" si="90"/>
        <v>3450</v>
      </c>
      <c r="AL167" s="12">
        <f t="shared" si="90"/>
        <v>3450</v>
      </c>
      <c r="AM167" s="12">
        <f t="shared" si="90"/>
        <v>3450</v>
      </c>
    </row>
    <row r="168" ht="15.75" customHeight="1"/>
    <row r="169" ht="15.75" customHeight="1">
      <c r="A169" s="2" t="str">
        <f>Acquisition_Plan!A22</f>
        <v>2027-07-26</v>
      </c>
      <c r="B169" s="12">
        <f>Acquisition_Plan!E22</f>
        <v>400000</v>
      </c>
      <c r="C169" s="12">
        <f>B169*(1+Inputs!$B$12)</f>
        <v>420000</v>
      </c>
    </row>
    <row r="170" ht="15.75" customHeight="1">
      <c r="A170" s="3" t="s">
        <v>147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12">
        <f>$B169*Inputs!$B$15*Curves!C5*(1-Inputs!$B$16)</f>
        <v>217995.1505</v>
      </c>
      <c r="W170" s="12">
        <f>$B169*Inputs!$B$15*Curves!C6*(1-Inputs!$B$16)</f>
        <v>103947.5553</v>
      </c>
      <c r="X170" s="12">
        <f>$B169*Inputs!$B$15*Curves!C7*(1-Inputs!$B$16)</f>
        <v>66631.45688</v>
      </c>
      <c r="Y170" s="12">
        <f>$B169*Inputs!$B$15*Curves!C8*(1-Inputs!$B$16)</f>
        <v>46879.22521</v>
      </c>
      <c r="Z170" s="12">
        <f>$B169*Inputs!$B$15*Curves!C9*(1-Inputs!$B$16)</f>
        <v>27871.09714</v>
      </c>
      <c r="AA170" s="12">
        <f>$B169*Inputs!$B$15*Curves!C10*(1-Inputs!$B$16)</f>
        <v>24984.36651</v>
      </c>
      <c r="AB170" s="12">
        <f>$B169*Inputs!$B$15*Curves!C11*(1-Inputs!$B$16)</f>
        <v>21577.61086</v>
      </c>
      <c r="AC170" s="12">
        <f>$B169*Inputs!$B$15*Curves!C12*(1-Inputs!$B$16)</f>
        <v>19065.02414</v>
      </c>
      <c r="AD170" s="12">
        <f>$B169*Inputs!$B$15*Curves!C13*(1-Inputs!$B$16)</f>
        <v>17043.36685</v>
      </c>
      <c r="AE170" s="12">
        <f>$B169*Inputs!$B$15*Curves!C14*(1-Inputs!$B$16)</f>
        <v>19805.14658</v>
      </c>
      <c r="AF170" s="12">
        <f>$B169*Inputs!$B$15*Curves!C15*(1-Inputs!$B$16)</f>
        <v>13800</v>
      </c>
      <c r="AG170" s="12">
        <f>$B169*Inputs!$B$15*Curves!C16*(1-Inputs!$B$16)</f>
        <v>13800</v>
      </c>
      <c r="AH170" s="12">
        <f>$B169*Inputs!$B$15*Curves!C17*(1-Inputs!$B$16)</f>
        <v>13800</v>
      </c>
      <c r="AI170" s="12">
        <f>$B169*Inputs!$B$15*Curves!C18*(1-Inputs!$B$16)</f>
        <v>3450</v>
      </c>
      <c r="AJ170" s="12">
        <f>$B169*Inputs!$B$15*Curves!C19*(1-Inputs!$B$16)</f>
        <v>3450</v>
      </c>
      <c r="AK170" s="12">
        <f>$B169*Inputs!$B$15*Curves!C20*(1-Inputs!$B$16)</f>
        <v>3450</v>
      </c>
      <c r="AL170" s="12">
        <f>$B169*Inputs!$B$15*Curves!C21*(1-Inputs!$B$16)</f>
        <v>3450</v>
      </c>
      <c r="AM170" s="12">
        <f>$B169*Inputs!$B$15*Curves!C22*(1-Inputs!$B$16)</f>
        <v>3450</v>
      </c>
    </row>
    <row r="171" ht="15.75" customHeight="1">
      <c r="A171" s="3" t="s">
        <v>148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 t="s">
        <v>149</v>
      </c>
      <c r="W171" s="3" t="str">
        <f t="shared" ref="W171:AM171" si="91">IF($B169=0, "N", IF(V174&gt;=$B169, "Y", "N"))</f>
        <v>N</v>
      </c>
      <c r="X171" s="3" t="str">
        <f t="shared" si="91"/>
        <v>N</v>
      </c>
      <c r="Y171" s="3" t="str">
        <f t="shared" si="91"/>
        <v>N</v>
      </c>
      <c r="Z171" s="3" t="str">
        <f t="shared" si="91"/>
        <v>Y</v>
      </c>
      <c r="AA171" s="3" t="str">
        <f t="shared" si="91"/>
        <v>Y</v>
      </c>
      <c r="AB171" s="3" t="str">
        <f t="shared" si="91"/>
        <v>Y</v>
      </c>
      <c r="AC171" s="3" t="str">
        <f t="shared" si="91"/>
        <v>Y</v>
      </c>
      <c r="AD171" s="3" t="str">
        <f t="shared" si="91"/>
        <v>Y</v>
      </c>
      <c r="AE171" s="3" t="str">
        <f t="shared" si="91"/>
        <v>Y</v>
      </c>
      <c r="AF171" s="3" t="str">
        <f t="shared" si="91"/>
        <v>Y</v>
      </c>
      <c r="AG171" s="3" t="str">
        <f t="shared" si="91"/>
        <v>Y</v>
      </c>
      <c r="AH171" s="3" t="str">
        <f t="shared" si="91"/>
        <v>Y</v>
      </c>
      <c r="AI171" s="3" t="str">
        <f t="shared" si="91"/>
        <v>Y</v>
      </c>
      <c r="AJ171" s="3" t="str">
        <f t="shared" si="91"/>
        <v>Y</v>
      </c>
      <c r="AK171" s="3" t="str">
        <f t="shared" si="91"/>
        <v>Y</v>
      </c>
      <c r="AL171" s="3" t="str">
        <f t="shared" si="91"/>
        <v>Y</v>
      </c>
      <c r="AM171" s="3" t="str">
        <f t="shared" si="91"/>
        <v>Y</v>
      </c>
    </row>
    <row r="172" ht="15.75" customHeight="1">
      <c r="A172" s="3" t="s">
        <v>150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12">
        <v>0.0</v>
      </c>
      <c r="W172" s="12">
        <f>IF(AND(W171="Y", V175="N"), $B169*Inputs!$B$12/12, 0)</f>
        <v>0</v>
      </c>
      <c r="X172" s="12">
        <f>IF(AND(X171="Y", W175="N"), $B169*Inputs!$B$12/12, 0)</f>
        <v>0</v>
      </c>
      <c r="Y172" s="12">
        <f>IF(AND(Y171="Y", X175="N"), $B169*Inputs!$B$12/12, 0)</f>
        <v>0</v>
      </c>
      <c r="Z172" s="12">
        <f>IF(AND(Z171="Y", Y175="N"), $B169*Inputs!$B$12/12, 0)</f>
        <v>0</v>
      </c>
      <c r="AA172" s="12">
        <f>IF(AND(AA171="Y", Z175="N"), $B169*Inputs!$B$12/12, 0)</f>
        <v>0</v>
      </c>
      <c r="AB172" s="12">
        <f>IF(AND(AB171="Y", AA175="N"), $B169*Inputs!$B$12/12, 0)</f>
        <v>0</v>
      </c>
      <c r="AC172" s="12">
        <f>IF(AND(AC171="Y", AB175="N"), $B169*Inputs!$B$12/12, 0)</f>
        <v>0</v>
      </c>
      <c r="AD172" s="12">
        <f>IF(AND(AD171="Y", AC175="N"), $B169*Inputs!$B$12/12, 0)</f>
        <v>0</v>
      </c>
      <c r="AE172" s="12">
        <f>IF(AND(AE171="Y", AD175="N"), $B169*Inputs!$B$12/12, 0)</f>
        <v>0</v>
      </c>
      <c r="AF172" s="12">
        <f>IF(AND(AF171="Y", AE175="N"), $B169*Inputs!$B$12/12, 0)</f>
        <v>0</v>
      </c>
      <c r="AG172" s="12">
        <f>IF(AND(AG171="Y", AF175="N"), $B169*Inputs!$B$12/12, 0)</f>
        <v>0</v>
      </c>
      <c r="AH172" s="12">
        <f>IF(AND(AH171="Y", AG175="N"), $B169*Inputs!$B$12/12, 0)</f>
        <v>0</v>
      </c>
      <c r="AI172" s="12">
        <f>IF(AND(AI171="Y", AH175="N"), $B169*Inputs!$B$12/12, 0)</f>
        <v>0</v>
      </c>
      <c r="AJ172" s="12">
        <f>IF(AND(AJ171="Y", AI175="N"), $B169*Inputs!$B$12/12, 0)</f>
        <v>0</v>
      </c>
      <c r="AK172" s="12">
        <f>IF(AND(AK171="Y", AJ175="N"), $B169*Inputs!$B$12/12, 0)</f>
        <v>0</v>
      </c>
      <c r="AL172" s="12">
        <f>IF(AND(AL171="Y", AK175="N"), $B169*Inputs!$B$12/12, 0)</f>
        <v>0</v>
      </c>
      <c r="AM172" s="12">
        <f>IF(AND(AM171="Y", AL175="N"), $B169*Inputs!$B$12/12, 0)</f>
        <v>0</v>
      </c>
    </row>
    <row r="173" ht="15.75" customHeight="1">
      <c r="A173" s="3" t="s">
        <v>151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12">
        <f>IF($B169=0, 0, MIN(V170, $C169))</f>
        <v>217995.1505</v>
      </c>
      <c r="W173" s="12">
        <f t="shared" ref="W173:AM173" si="92">IF($B169=0, 0, IF(V175="Y", 0, IF(W171="N", MIN(W170, $C169-V174), MIN(W170*0.5+W172, $C169-V174))))</f>
        <v>103947.5553</v>
      </c>
      <c r="X173" s="12">
        <f t="shared" si="92"/>
        <v>66631.45688</v>
      </c>
      <c r="Y173" s="12">
        <f t="shared" si="92"/>
        <v>31425.83729</v>
      </c>
      <c r="Z173" s="12">
        <f t="shared" si="92"/>
        <v>0</v>
      </c>
      <c r="AA173" s="12">
        <f t="shared" si="92"/>
        <v>0</v>
      </c>
      <c r="AB173" s="12">
        <f t="shared" si="92"/>
        <v>0</v>
      </c>
      <c r="AC173" s="12">
        <f t="shared" si="92"/>
        <v>0</v>
      </c>
      <c r="AD173" s="12">
        <f t="shared" si="92"/>
        <v>0</v>
      </c>
      <c r="AE173" s="12">
        <f t="shared" si="92"/>
        <v>0</v>
      </c>
      <c r="AF173" s="12">
        <f t="shared" si="92"/>
        <v>0</v>
      </c>
      <c r="AG173" s="12">
        <f t="shared" si="92"/>
        <v>0</v>
      </c>
      <c r="AH173" s="12">
        <f t="shared" si="92"/>
        <v>0</v>
      </c>
      <c r="AI173" s="12">
        <f t="shared" si="92"/>
        <v>0</v>
      </c>
      <c r="AJ173" s="12">
        <f t="shared" si="92"/>
        <v>0</v>
      </c>
      <c r="AK173" s="12">
        <f t="shared" si="92"/>
        <v>0</v>
      </c>
      <c r="AL173" s="12">
        <f t="shared" si="92"/>
        <v>0</v>
      </c>
      <c r="AM173" s="12">
        <f t="shared" si="92"/>
        <v>0</v>
      </c>
    </row>
    <row r="174" ht="15.75" customHeight="1">
      <c r="A174" s="3" t="s">
        <v>152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12">
        <f>V173</f>
        <v>217995.1505</v>
      </c>
      <c r="W174" s="12">
        <f t="shared" ref="W174:AM174" si="93">V174+W173</f>
        <v>321942.7058</v>
      </c>
      <c r="X174" s="12">
        <f t="shared" si="93"/>
        <v>388574.1627</v>
      </c>
      <c r="Y174" s="12">
        <f t="shared" si="93"/>
        <v>420000</v>
      </c>
      <c r="Z174" s="12">
        <f t="shared" si="93"/>
        <v>420000</v>
      </c>
      <c r="AA174" s="12">
        <f t="shared" si="93"/>
        <v>420000</v>
      </c>
      <c r="AB174" s="12">
        <f t="shared" si="93"/>
        <v>420000</v>
      </c>
      <c r="AC174" s="12">
        <f t="shared" si="93"/>
        <v>420000</v>
      </c>
      <c r="AD174" s="12">
        <f t="shared" si="93"/>
        <v>420000</v>
      </c>
      <c r="AE174" s="12">
        <f t="shared" si="93"/>
        <v>420000</v>
      </c>
      <c r="AF174" s="12">
        <f t="shared" si="93"/>
        <v>420000</v>
      </c>
      <c r="AG174" s="12">
        <f t="shared" si="93"/>
        <v>420000</v>
      </c>
      <c r="AH174" s="12">
        <f t="shared" si="93"/>
        <v>420000</v>
      </c>
      <c r="AI174" s="12">
        <f t="shared" si="93"/>
        <v>420000</v>
      </c>
      <c r="AJ174" s="12">
        <f t="shared" si="93"/>
        <v>420000</v>
      </c>
      <c r="AK174" s="12">
        <f t="shared" si="93"/>
        <v>420000</v>
      </c>
      <c r="AL174" s="12">
        <f t="shared" si="93"/>
        <v>420000</v>
      </c>
      <c r="AM174" s="12">
        <f t="shared" si="93"/>
        <v>420000</v>
      </c>
    </row>
    <row r="175" ht="15.75" customHeight="1">
      <c r="A175" s="3" t="s">
        <v>153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 t="str">
        <f t="shared" ref="V175:AM175" si="94">IF(V174&gt;=$C169, "Y", "N")</f>
        <v>N</v>
      </c>
      <c r="W175" s="3" t="str">
        <f t="shared" si="94"/>
        <v>N</v>
      </c>
      <c r="X175" s="3" t="str">
        <f t="shared" si="94"/>
        <v>N</v>
      </c>
      <c r="Y175" s="3" t="str">
        <f t="shared" si="94"/>
        <v>Y</v>
      </c>
      <c r="Z175" s="3" t="str">
        <f t="shared" si="94"/>
        <v>Y</v>
      </c>
      <c r="AA175" s="3" t="str">
        <f t="shared" si="94"/>
        <v>Y</v>
      </c>
      <c r="AB175" s="3" t="str">
        <f t="shared" si="94"/>
        <v>Y</v>
      </c>
      <c r="AC175" s="3" t="str">
        <f t="shared" si="94"/>
        <v>Y</v>
      </c>
      <c r="AD175" s="3" t="str">
        <f t="shared" si="94"/>
        <v>Y</v>
      </c>
      <c r="AE175" s="3" t="str">
        <f t="shared" si="94"/>
        <v>Y</v>
      </c>
      <c r="AF175" s="3" t="str">
        <f t="shared" si="94"/>
        <v>Y</v>
      </c>
      <c r="AG175" s="3" t="str">
        <f t="shared" si="94"/>
        <v>Y</v>
      </c>
      <c r="AH175" s="3" t="str">
        <f t="shared" si="94"/>
        <v>Y</v>
      </c>
      <c r="AI175" s="3" t="str">
        <f t="shared" si="94"/>
        <v>Y</v>
      </c>
      <c r="AJ175" s="3" t="str">
        <f t="shared" si="94"/>
        <v>Y</v>
      </c>
      <c r="AK175" s="3" t="str">
        <f t="shared" si="94"/>
        <v>Y</v>
      </c>
      <c r="AL175" s="3" t="str">
        <f t="shared" si="94"/>
        <v>Y</v>
      </c>
      <c r="AM175" s="3" t="str">
        <f t="shared" si="94"/>
        <v>Y</v>
      </c>
    </row>
    <row r="176" ht="15.75" customHeight="1">
      <c r="A176" s="3" t="s">
        <v>154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12">
        <f t="shared" ref="V176:AM176" si="95">V170-V173</f>
        <v>0</v>
      </c>
      <c r="W176" s="12">
        <f t="shared" si="95"/>
        <v>0</v>
      </c>
      <c r="X176" s="12">
        <f t="shared" si="95"/>
        <v>0</v>
      </c>
      <c r="Y176" s="12">
        <f t="shared" si="95"/>
        <v>15453.38792</v>
      </c>
      <c r="Z176" s="12">
        <f t="shared" si="95"/>
        <v>27871.09714</v>
      </c>
      <c r="AA176" s="12">
        <f t="shared" si="95"/>
        <v>24984.36651</v>
      </c>
      <c r="AB176" s="12">
        <f t="shared" si="95"/>
        <v>21577.61086</v>
      </c>
      <c r="AC176" s="12">
        <f t="shared" si="95"/>
        <v>19065.02414</v>
      </c>
      <c r="AD176" s="12">
        <f t="shared" si="95"/>
        <v>17043.36685</v>
      </c>
      <c r="AE176" s="12">
        <f t="shared" si="95"/>
        <v>19805.14658</v>
      </c>
      <c r="AF176" s="12">
        <f t="shared" si="95"/>
        <v>13800</v>
      </c>
      <c r="AG176" s="12">
        <f t="shared" si="95"/>
        <v>13800</v>
      </c>
      <c r="AH176" s="12">
        <f t="shared" si="95"/>
        <v>13800</v>
      </c>
      <c r="AI176" s="12">
        <f t="shared" si="95"/>
        <v>3450</v>
      </c>
      <c r="AJ176" s="12">
        <f t="shared" si="95"/>
        <v>3450</v>
      </c>
      <c r="AK176" s="12">
        <f t="shared" si="95"/>
        <v>3450</v>
      </c>
      <c r="AL176" s="12">
        <f t="shared" si="95"/>
        <v>3450</v>
      </c>
      <c r="AM176" s="12">
        <f t="shared" si="95"/>
        <v>3450</v>
      </c>
    </row>
    <row r="177" ht="15.75" customHeight="1"/>
    <row r="178" ht="15.75" customHeight="1">
      <c r="A178" s="2" t="str">
        <f>Acquisition_Plan!A23</f>
        <v>2027-08-25</v>
      </c>
      <c r="B178" s="12">
        <f>Acquisition_Plan!E23</f>
        <v>400000</v>
      </c>
      <c r="C178" s="12">
        <f>B178*(1+Inputs!$B$12)</f>
        <v>420000</v>
      </c>
    </row>
    <row r="179" ht="15.75" customHeight="1">
      <c r="A179" s="3" t="s">
        <v>147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12">
        <f>$B178*Inputs!$B$15*Curves!C5*(1-Inputs!$B$16)</f>
        <v>217995.1505</v>
      </c>
      <c r="X179" s="12">
        <f>$B178*Inputs!$B$15*Curves!C6*(1-Inputs!$B$16)</f>
        <v>103947.5553</v>
      </c>
      <c r="Y179" s="12">
        <f>$B178*Inputs!$B$15*Curves!C7*(1-Inputs!$B$16)</f>
        <v>66631.45688</v>
      </c>
      <c r="Z179" s="12">
        <f>$B178*Inputs!$B$15*Curves!C8*(1-Inputs!$B$16)</f>
        <v>46879.22521</v>
      </c>
      <c r="AA179" s="12">
        <f>$B178*Inputs!$B$15*Curves!C9*(1-Inputs!$B$16)</f>
        <v>27871.09714</v>
      </c>
      <c r="AB179" s="12">
        <f>$B178*Inputs!$B$15*Curves!C10*(1-Inputs!$B$16)</f>
        <v>24984.36651</v>
      </c>
      <c r="AC179" s="12">
        <f>$B178*Inputs!$B$15*Curves!C11*(1-Inputs!$B$16)</f>
        <v>21577.61086</v>
      </c>
      <c r="AD179" s="12">
        <f>$B178*Inputs!$B$15*Curves!C12*(1-Inputs!$B$16)</f>
        <v>19065.02414</v>
      </c>
      <c r="AE179" s="12">
        <f>$B178*Inputs!$B$15*Curves!C13*(1-Inputs!$B$16)</f>
        <v>17043.36685</v>
      </c>
      <c r="AF179" s="12">
        <f>$B178*Inputs!$B$15*Curves!C14*(1-Inputs!$B$16)</f>
        <v>19805.14658</v>
      </c>
      <c r="AG179" s="12">
        <f>$B178*Inputs!$B$15*Curves!C15*(1-Inputs!$B$16)</f>
        <v>13800</v>
      </c>
      <c r="AH179" s="12">
        <f>$B178*Inputs!$B$15*Curves!C16*(1-Inputs!$B$16)</f>
        <v>13800</v>
      </c>
      <c r="AI179" s="12">
        <f>$B178*Inputs!$B$15*Curves!C17*(1-Inputs!$B$16)</f>
        <v>13800</v>
      </c>
      <c r="AJ179" s="12">
        <f>$B178*Inputs!$B$15*Curves!C18*(1-Inputs!$B$16)</f>
        <v>3450</v>
      </c>
      <c r="AK179" s="12">
        <f>$B178*Inputs!$B$15*Curves!C19*(1-Inputs!$B$16)</f>
        <v>3450</v>
      </c>
      <c r="AL179" s="12">
        <f>$B178*Inputs!$B$15*Curves!C20*(1-Inputs!$B$16)</f>
        <v>3450</v>
      </c>
      <c r="AM179" s="12">
        <f>$B178*Inputs!$B$15*Curves!C21*(1-Inputs!$B$16)</f>
        <v>3450</v>
      </c>
    </row>
    <row r="180" ht="15.75" customHeight="1">
      <c r="A180" s="3" t="s">
        <v>148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 t="s">
        <v>149</v>
      </c>
      <c r="X180" s="3" t="str">
        <f t="shared" ref="X180:AM180" si="96">IF($B178=0, "N", IF(W183&gt;=$B178, "Y", "N"))</f>
        <v>N</v>
      </c>
      <c r="Y180" s="3" t="str">
        <f t="shared" si="96"/>
        <v>N</v>
      </c>
      <c r="Z180" s="3" t="str">
        <f t="shared" si="96"/>
        <v>N</v>
      </c>
      <c r="AA180" s="3" t="str">
        <f t="shared" si="96"/>
        <v>Y</v>
      </c>
      <c r="AB180" s="3" t="str">
        <f t="shared" si="96"/>
        <v>Y</v>
      </c>
      <c r="AC180" s="3" t="str">
        <f t="shared" si="96"/>
        <v>Y</v>
      </c>
      <c r="AD180" s="3" t="str">
        <f t="shared" si="96"/>
        <v>Y</v>
      </c>
      <c r="AE180" s="3" t="str">
        <f t="shared" si="96"/>
        <v>Y</v>
      </c>
      <c r="AF180" s="3" t="str">
        <f t="shared" si="96"/>
        <v>Y</v>
      </c>
      <c r="AG180" s="3" t="str">
        <f t="shared" si="96"/>
        <v>Y</v>
      </c>
      <c r="AH180" s="3" t="str">
        <f t="shared" si="96"/>
        <v>Y</v>
      </c>
      <c r="AI180" s="3" t="str">
        <f t="shared" si="96"/>
        <v>Y</v>
      </c>
      <c r="AJ180" s="3" t="str">
        <f t="shared" si="96"/>
        <v>Y</v>
      </c>
      <c r="AK180" s="3" t="str">
        <f t="shared" si="96"/>
        <v>Y</v>
      </c>
      <c r="AL180" s="3" t="str">
        <f t="shared" si="96"/>
        <v>Y</v>
      </c>
      <c r="AM180" s="3" t="str">
        <f t="shared" si="96"/>
        <v>Y</v>
      </c>
    </row>
    <row r="181" ht="15.75" customHeight="1">
      <c r="A181" s="3" t="s">
        <v>150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12">
        <v>0.0</v>
      </c>
      <c r="X181" s="12">
        <f>IF(AND(X180="Y", W184="N"), $B178*Inputs!$B$12/12, 0)</f>
        <v>0</v>
      </c>
      <c r="Y181" s="12">
        <f>IF(AND(Y180="Y", X184="N"), $B178*Inputs!$B$12/12, 0)</f>
        <v>0</v>
      </c>
      <c r="Z181" s="12">
        <f>IF(AND(Z180="Y", Y184="N"), $B178*Inputs!$B$12/12, 0)</f>
        <v>0</v>
      </c>
      <c r="AA181" s="12">
        <f>IF(AND(AA180="Y", Z184="N"), $B178*Inputs!$B$12/12, 0)</f>
        <v>0</v>
      </c>
      <c r="AB181" s="12">
        <f>IF(AND(AB180="Y", AA184="N"), $B178*Inputs!$B$12/12, 0)</f>
        <v>0</v>
      </c>
      <c r="AC181" s="12">
        <f>IF(AND(AC180="Y", AB184="N"), $B178*Inputs!$B$12/12, 0)</f>
        <v>0</v>
      </c>
      <c r="AD181" s="12">
        <f>IF(AND(AD180="Y", AC184="N"), $B178*Inputs!$B$12/12, 0)</f>
        <v>0</v>
      </c>
      <c r="AE181" s="12">
        <f>IF(AND(AE180="Y", AD184="N"), $B178*Inputs!$B$12/12, 0)</f>
        <v>0</v>
      </c>
      <c r="AF181" s="12">
        <f>IF(AND(AF180="Y", AE184="N"), $B178*Inputs!$B$12/12, 0)</f>
        <v>0</v>
      </c>
      <c r="AG181" s="12">
        <f>IF(AND(AG180="Y", AF184="N"), $B178*Inputs!$B$12/12, 0)</f>
        <v>0</v>
      </c>
      <c r="AH181" s="12">
        <f>IF(AND(AH180="Y", AG184="N"), $B178*Inputs!$B$12/12, 0)</f>
        <v>0</v>
      </c>
      <c r="AI181" s="12">
        <f>IF(AND(AI180="Y", AH184="N"), $B178*Inputs!$B$12/12, 0)</f>
        <v>0</v>
      </c>
      <c r="AJ181" s="12">
        <f>IF(AND(AJ180="Y", AI184="N"), $B178*Inputs!$B$12/12, 0)</f>
        <v>0</v>
      </c>
      <c r="AK181" s="12">
        <f>IF(AND(AK180="Y", AJ184="N"), $B178*Inputs!$B$12/12, 0)</f>
        <v>0</v>
      </c>
      <c r="AL181" s="12">
        <f>IF(AND(AL180="Y", AK184="N"), $B178*Inputs!$B$12/12, 0)</f>
        <v>0</v>
      </c>
      <c r="AM181" s="12">
        <f>IF(AND(AM180="Y", AL184="N"), $B178*Inputs!$B$12/12, 0)</f>
        <v>0</v>
      </c>
    </row>
    <row r="182" ht="15.75" customHeight="1">
      <c r="A182" s="3" t="s">
        <v>151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12">
        <f>IF($B178=0, 0, MIN(W179, $C178))</f>
        <v>217995.1505</v>
      </c>
      <c r="X182" s="12">
        <f t="shared" ref="X182:AM182" si="97">IF($B178=0, 0, IF(W184="Y", 0, IF(X180="N", MIN(X179, $C178-W183), MIN(X179*0.5+X181, $C178-W183))))</f>
        <v>103947.5553</v>
      </c>
      <c r="Y182" s="12">
        <f t="shared" si="97"/>
        <v>66631.45688</v>
      </c>
      <c r="Z182" s="12">
        <f t="shared" si="97"/>
        <v>31425.83729</v>
      </c>
      <c r="AA182" s="12">
        <f t="shared" si="97"/>
        <v>0</v>
      </c>
      <c r="AB182" s="12">
        <f t="shared" si="97"/>
        <v>0</v>
      </c>
      <c r="AC182" s="12">
        <f t="shared" si="97"/>
        <v>0</v>
      </c>
      <c r="AD182" s="12">
        <f t="shared" si="97"/>
        <v>0</v>
      </c>
      <c r="AE182" s="12">
        <f t="shared" si="97"/>
        <v>0</v>
      </c>
      <c r="AF182" s="12">
        <f t="shared" si="97"/>
        <v>0</v>
      </c>
      <c r="AG182" s="12">
        <f t="shared" si="97"/>
        <v>0</v>
      </c>
      <c r="AH182" s="12">
        <f t="shared" si="97"/>
        <v>0</v>
      </c>
      <c r="AI182" s="12">
        <f t="shared" si="97"/>
        <v>0</v>
      </c>
      <c r="AJ182" s="12">
        <f t="shared" si="97"/>
        <v>0</v>
      </c>
      <c r="AK182" s="12">
        <f t="shared" si="97"/>
        <v>0</v>
      </c>
      <c r="AL182" s="12">
        <f t="shared" si="97"/>
        <v>0</v>
      </c>
      <c r="AM182" s="12">
        <f t="shared" si="97"/>
        <v>0</v>
      </c>
    </row>
    <row r="183" ht="15.75" customHeight="1">
      <c r="A183" s="3" t="s">
        <v>152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12">
        <f>W182</f>
        <v>217995.1505</v>
      </c>
      <c r="X183" s="12">
        <f t="shared" ref="X183:AM183" si="98">W183+X182</f>
        <v>321942.7058</v>
      </c>
      <c r="Y183" s="12">
        <f t="shared" si="98"/>
        <v>388574.1627</v>
      </c>
      <c r="Z183" s="12">
        <f t="shared" si="98"/>
        <v>420000</v>
      </c>
      <c r="AA183" s="12">
        <f t="shared" si="98"/>
        <v>420000</v>
      </c>
      <c r="AB183" s="12">
        <f t="shared" si="98"/>
        <v>420000</v>
      </c>
      <c r="AC183" s="12">
        <f t="shared" si="98"/>
        <v>420000</v>
      </c>
      <c r="AD183" s="12">
        <f t="shared" si="98"/>
        <v>420000</v>
      </c>
      <c r="AE183" s="12">
        <f t="shared" si="98"/>
        <v>420000</v>
      </c>
      <c r="AF183" s="12">
        <f t="shared" si="98"/>
        <v>420000</v>
      </c>
      <c r="AG183" s="12">
        <f t="shared" si="98"/>
        <v>420000</v>
      </c>
      <c r="AH183" s="12">
        <f t="shared" si="98"/>
        <v>420000</v>
      </c>
      <c r="AI183" s="12">
        <f t="shared" si="98"/>
        <v>420000</v>
      </c>
      <c r="AJ183" s="12">
        <f t="shared" si="98"/>
        <v>420000</v>
      </c>
      <c r="AK183" s="12">
        <f t="shared" si="98"/>
        <v>420000</v>
      </c>
      <c r="AL183" s="12">
        <f t="shared" si="98"/>
        <v>420000</v>
      </c>
      <c r="AM183" s="12">
        <f t="shared" si="98"/>
        <v>420000</v>
      </c>
    </row>
    <row r="184" ht="15.75" customHeight="1">
      <c r="A184" s="3" t="s">
        <v>153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 t="str">
        <f t="shared" ref="W184:AM184" si="99">IF(W183&gt;=$C178, "Y", "N")</f>
        <v>N</v>
      </c>
      <c r="X184" s="3" t="str">
        <f t="shared" si="99"/>
        <v>N</v>
      </c>
      <c r="Y184" s="3" t="str">
        <f t="shared" si="99"/>
        <v>N</v>
      </c>
      <c r="Z184" s="3" t="str">
        <f t="shared" si="99"/>
        <v>Y</v>
      </c>
      <c r="AA184" s="3" t="str">
        <f t="shared" si="99"/>
        <v>Y</v>
      </c>
      <c r="AB184" s="3" t="str">
        <f t="shared" si="99"/>
        <v>Y</v>
      </c>
      <c r="AC184" s="3" t="str">
        <f t="shared" si="99"/>
        <v>Y</v>
      </c>
      <c r="AD184" s="3" t="str">
        <f t="shared" si="99"/>
        <v>Y</v>
      </c>
      <c r="AE184" s="3" t="str">
        <f t="shared" si="99"/>
        <v>Y</v>
      </c>
      <c r="AF184" s="3" t="str">
        <f t="shared" si="99"/>
        <v>Y</v>
      </c>
      <c r="AG184" s="3" t="str">
        <f t="shared" si="99"/>
        <v>Y</v>
      </c>
      <c r="AH184" s="3" t="str">
        <f t="shared" si="99"/>
        <v>Y</v>
      </c>
      <c r="AI184" s="3" t="str">
        <f t="shared" si="99"/>
        <v>Y</v>
      </c>
      <c r="AJ184" s="3" t="str">
        <f t="shared" si="99"/>
        <v>Y</v>
      </c>
      <c r="AK184" s="3" t="str">
        <f t="shared" si="99"/>
        <v>Y</v>
      </c>
      <c r="AL184" s="3" t="str">
        <f t="shared" si="99"/>
        <v>Y</v>
      </c>
      <c r="AM184" s="3" t="str">
        <f t="shared" si="99"/>
        <v>Y</v>
      </c>
    </row>
    <row r="185" ht="15.75" customHeight="1">
      <c r="A185" s="3" t="s">
        <v>154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12">
        <f t="shared" ref="W185:AM185" si="100">W179-W182</f>
        <v>0</v>
      </c>
      <c r="X185" s="12">
        <f t="shared" si="100"/>
        <v>0</v>
      </c>
      <c r="Y185" s="12">
        <f t="shared" si="100"/>
        <v>0</v>
      </c>
      <c r="Z185" s="12">
        <f t="shared" si="100"/>
        <v>15453.38792</v>
      </c>
      <c r="AA185" s="12">
        <f t="shared" si="100"/>
        <v>27871.09714</v>
      </c>
      <c r="AB185" s="12">
        <f t="shared" si="100"/>
        <v>24984.36651</v>
      </c>
      <c r="AC185" s="12">
        <f t="shared" si="100"/>
        <v>21577.61086</v>
      </c>
      <c r="AD185" s="12">
        <f t="shared" si="100"/>
        <v>19065.02414</v>
      </c>
      <c r="AE185" s="12">
        <f t="shared" si="100"/>
        <v>17043.36685</v>
      </c>
      <c r="AF185" s="12">
        <f t="shared" si="100"/>
        <v>19805.14658</v>
      </c>
      <c r="AG185" s="12">
        <f t="shared" si="100"/>
        <v>13800</v>
      </c>
      <c r="AH185" s="12">
        <f t="shared" si="100"/>
        <v>13800</v>
      </c>
      <c r="AI185" s="12">
        <f t="shared" si="100"/>
        <v>13800</v>
      </c>
      <c r="AJ185" s="12">
        <f t="shared" si="100"/>
        <v>3450</v>
      </c>
      <c r="AK185" s="12">
        <f t="shared" si="100"/>
        <v>3450</v>
      </c>
      <c r="AL185" s="12">
        <f t="shared" si="100"/>
        <v>3450</v>
      </c>
      <c r="AM185" s="12">
        <f t="shared" si="100"/>
        <v>3450</v>
      </c>
    </row>
    <row r="186" ht="15.75" customHeight="1"/>
    <row r="187" ht="15.75" customHeight="1">
      <c r="A187" s="2" t="str">
        <f>Acquisition_Plan!A24</f>
        <v>2027-09-24</v>
      </c>
      <c r="B187" s="12">
        <f>Acquisition_Plan!E24</f>
        <v>400000</v>
      </c>
      <c r="C187" s="12">
        <f>B187*(1+Inputs!$B$12)</f>
        <v>420000</v>
      </c>
    </row>
    <row r="188" ht="15.75" customHeight="1">
      <c r="A188" s="3" t="s">
        <v>147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12">
        <f>$B187*Inputs!$B$15*Curves!C5*(1-Inputs!$B$16)</f>
        <v>217995.1505</v>
      </c>
      <c r="Y188" s="12">
        <f>$B187*Inputs!$B$15*Curves!C6*(1-Inputs!$B$16)</f>
        <v>103947.5553</v>
      </c>
      <c r="Z188" s="12">
        <f>$B187*Inputs!$B$15*Curves!C7*(1-Inputs!$B$16)</f>
        <v>66631.45688</v>
      </c>
      <c r="AA188" s="12">
        <f>$B187*Inputs!$B$15*Curves!C8*(1-Inputs!$B$16)</f>
        <v>46879.22521</v>
      </c>
      <c r="AB188" s="12">
        <f>$B187*Inputs!$B$15*Curves!C9*(1-Inputs!$B$16)</f>
        <v>27871.09714</v>
      </c>
      <c r="AC188" s="12">
        <f>$B187*Inputs!$B$15*Curves!C10*(1-Inputs!$B$16)</f>
        <v>24984.36651</v>
      </c>
      <c r="AD188" s="12">
        <f>$B187*Inputs!$B$15*Curves!C11*(1-Inputs!$B$16)</f>
        <v>21577.61086</v>
      </c>
      <c r="AE188" s="12">
        <f>$B187*Inputs!$B$15*Curves!C12*(1-Inputs!$B$16)</f>
        <v>19065.02414</v>
      </c>
      <c r="AF188" s="12">
        <f>$B187*Inputs!$B$15*Curves!C13*(1-Inputs!$B$16)</f>
        <v>17043.36685</v>
      </c>
      <c r="AG188" s="12">
        <f>$B187*Inputs!$B$15*Curves!C14*(1-Inputs!$B$16)</f>
        <v>19805.14658</v>
      </c>
      <c r="AH188" s="12">
        <f>$B187*Inputs!$B$15*Curves!C15*(1-Inputs!$B$16)</f>
        <v>13800</v>
      </c>
      <c r="AI188" s="12">
        <f>$B187*Inputs!$B$15*Curves!C16*(1-Inputs!$B$16)</f>
        <v>13800</v>
      </c>
      <c r="AJ188" s="12">
        <f>$B187*Inputs!$B$15*Curves!C17*(1-Inputs!$B$16)</f>
        <v>13800</v>
      </c>
      <c r="AK188" s="12">
        <f>$B187*Inputs!$B$15*Curves!C18*(1-Inputs!$B$16)</f>
        <v>3450</v>
      </c>
      <c r="AL188" s="12">
        <f>$B187*Inputs!$B$15*Curves!C19*(1-Inputs!$B$16)</f>
        <v>3450</v>
      </c>
      <c r="AM188" s="12">
        <f>$B187*Inputs!$B$15*Curves!C20*(1-Inputs!$B$16)</f>
        <v>3450</v>
      </c>
    </row>
    <row r="189" ht="15.75" customHeight="1">
      <c r="A189" s="3" t="s">
        <v>148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 t="s">
        <v>149</v>
      </c>
      <c r="Y189" s="3" t="str">
        <f t="shared" ref="Y189:AM189" si="101">IF($B187=0, "N", IF(X192&gt;=$B187, "Y", "N"))</f>
        <v>N</v>
      </c>
      <c r="Z189" s="3" t="str">
        <f t="shared" si="101"/>
        <v>N</v>
      </c>
      <c r="AA189" s="3" t="str">
        <f t="shared" si="101"/>
        <v>N</v>
      </c>
      <c r="AB189" s="3" t="str">
        <f t="shared" si="101"/>
        <v>Y</v>
      </c>
      <c r="AC189" s="3" t="str">
        <f t="shared" si="101"/>
        <v>Y</v>
      </c>
      <c r="AD189" s="3" t="str">
        <f t="shared" si="101"/>
        <v>Y</v>
      </c>
      <c r="AE189" s="3" t="str">
        <f t="shared" si="101"/>
        <v>Y</v>
      </c>
      <c r="AF189" s="3" t="str">
        <f t="shared" si="101"/>
        <v>Y</v>
      </c>
      <c r="AG189" s="3" t="str">
        <f t="shared" si="101"/>
        <v>Y</v>
      </c>
      <c r="AH189" s="3" t="str">
        <f t="shared" si="101"/>
        <v>Y</v>
      </c>
      <c r="AI189" s="3" t="str">
        <f t="shared" si="101"/>
        <v>Y</v>
      </c>
      <c r="AJ189" s="3" t="str">
        <f t="shared" si="101"/>
        <v>Y</v>
      </c>
      <c r="AK189" s="3" t="str">
        <f t="shared" si="101"/>
        <v>Y</v>
      </c>
      <c r="AL189" s="3" t="str">
        <f t="shared" si="101"/>
        <v>Y</v>
      </c>
      <c r="AM189" s="3" t="str">
        <f t="shared" si="101"/>
        <v>Y</v>
      </c>
    </row>
    <row r="190" ht="15.75" customHeight="1">
      <c r="A190" s="3" t="s">
        <v>150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12">
        <v>0.0</v>
      </c>
      <c r="Y190" s="12">
        <f>IF(AND(Y189="Y", X193="N"), $B187*Inputs!$B$12/12, 0)</f>
        <v>0</v>
      </c>
      <c r="Z190" s="12">
        <f>IF(AND(Z189="Y", Y193="N"), $B187*Inputs!$B$12/12, 0)</f>
        <v>0</v>
      </c>
      <c r="AA190" s="12">
        <f>IF(AND(AA189="Y", Z193="N"), $B187*Inputs!$B$12/12, 0)</f>
        <v>0</v>
      </c>
      <c r="AB190" s="12">
        <f>IF(AND(AB189="Y", AA193="N"), $B187*Inputs!$B$12/12, 0)</f>
        <v>0</v>
      </c>
      <c r="AC190" s="12">
        <f>IF(AND(AC189="Y", AB193="N"), $B187*Inputs!$B$12/12, 0)</f>
        <v>0</v>
      </c>
      <c r="AD190" s="12">
        <f>IF(AND(AD189="Y", AC193="N"), $B187*Inputs!$B$12/12, 0)</f>
        <v>0</v>
      </c>
      <c r="AE190" s="12">
        <f>IF(AND(AE189="Y", AD193="N"), $B187*Inputs!$B$12/12, 0)</f>
        <v>0</v>
      </c>
      <c r="AF190" s="12">
        <f>IF(AND(AF189="Y", AE193="N"), $B187*Inputs!$B$12/12, 0)</f>
        <v>0</v>
      </c>
      <c r="AG190" s="12">
        <f>IF(AND(AG189="Y", AF193="N"), $B187*Inputs!$B$12/12, 0)</f>
        <v>0</v>
      </c>
      <c r="AH190" s="12">
        <f>IF(AND(AH189="Y", AG193="N"), $B187*Inputs!$B$12/12, 0)</f>
        <v>0</v>
      </c>
      <c r="AI190" s="12">
        <f>IF(AND(AI189="Y", AH193="N"), $B187*Inputs!$B$12/12, 0)</f>
        <v>0</v>
      </c>
      <c r="AJ190" s="12">
        <f>IF(AND(AJ189="Y", AI193="N"), $B187*Inputs!$B$12/12, 0)</f>
        <v>0</v>
      </c>
      <c r="AK190" s="12">
        <f>IF(AND(AK189="Y", AJ193="N"), $B187*Inputs!$B$12/12, 0)</f>
        <v>0</v>
      </c>
      <c r="AL190" s="12">
        <f>IF(AND(AL189="Y", AK193="N"), $B187*Inputs!$B$12/12, 0)</f>
        <v>0</v>
      </c>
      <c r="AM190" s="12">
        <f>IF(AND(AM189="Y", AL193="N"), $B187*Inputs!$B$12/12, 0)</f>
        <v>0</v>
      </c>
    </row>
    <row r="191" ht="15.75" customHeight="1">
      <c r="A191" s="3" t="s">
        <v>151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12">
        <f>IF($B187=0, 0, MIN(X188, $C187))</f>
        <v>217995.1505</v>
      </c>
      <c r="Y191" s="12">
        <f t="shared" ref="Y191:AM191" si="102">IF($B187=0, 0, IF(X193="Y", 0, IF(Y189="N", MIN(Y188, $C187-X192), MIN(Y188*0.5+Y190, $C187-X192))))</f>
        <v>103947.5553</v>
      </c>
      <c r="Z191" s="12">
        <f t="shared" si="102"/>
        <v>66631.45688</v>
      </c>
      <c r="AA191" s="12">
        <f t="shared" si="102"/>
        <v>31425.83729</v>
      </c>
      <c r="AB191" s="12">
        <f t="shared" si="102"/>
        <v>0</v>
      </c>
      <c r="AC191" s="12">
        <f t="shared" si="102"/>
        <v>0</v>
      </c>
      <c r="AD191" s="12">
        <f t="shared" si="102"/>
        <v>0</v>
      </c>
      <c r="AE191" s="12">
        <f t="shared" si="102"/>
        <v>0</v>
      </c>
      <c r="AF191" s="12">
        <f t="shared" si="102"/>
        <v>0</v>
      </c>
      <c r="AG191" s="12">
        <f t="shared" si="102"/>
        <v>0</v>
      </c>
      <c r="AH191" s="12">
        <f t="shared" si="102"/>
        <v>0</v>
      </c>
      <c r="AI191" s="12">
        <f t="shared" si="102"/>
        <v>0</v>
      </c>
      <c r="AJ191" s="12">
        <f t="shared" si="102"/>
        <v>0</v>
      </c>
      <c r="AK191" s="12">
        <f t="shared" si="102"/>
        <v>0</v>
      </c>
      <c r="AL191" s="12">
        <f t="shared" si="102"/>
        <v>0</v>
      </c>
      <c r="AM191" s="12">
        <f t="shared" si="102"/>
        <v>0</v>
      </c>
    </row>
    <row r="192" ht="15.75" customHeight="1">
      <c r="A192" s="3" t="s">
        <v>152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12">
        <f>X191</f>
        <v>217995.1505</v>
      </c>
      <c r="Y192" s="12">
        <f t="shared" ref="Y192:AM192" si="103">X192+Y191</f>
        <v>321942.7058</v>
      </c>
      <c r="Z192" s="12">
        <f t="shared" si="103"/>
        <v>388574.1627</v>
      </c>
      <c r="AA192" s="12">
        <f t="shared" si="103"/>
        <v>420000</v>
      </c>
      <c r="AB192" s="12">
        <f t="shared" si="103"/>
        <v>420000</v>
      </c>
      <c r="AC192" s="12">
        <f t="shared" si="103"/>
        <v>420000</v>
      </c>
      <c r="AD192" s="12">
        <f t="shared" si="103"/>
        <v>420000</v>
      </c>
      <c r="AE192" s="12">
        <f t="shared" si="103"/>
        <v>420000</v>
      </c>
      <c r="AF192" s="12">
        <f t="shared" si="103"/>
        <v>420000</v>
      </c>
      <c r="AG192" s="12">
        <f t="shared" si="103"/>
        <v>420000</v>
      </c>
      <c r="AH192" s="12">
        <f t="shared" si="103"/>
        <v>420000</v>
      </c>
      <c r="AI192" s="12">
        <f t="shared" si="103"/>
        <v>420000</v>
      </c>
      <c r="AJ192" s="12">
        <f t="shared" si="103"/>
        <v>420000</v>
      </c>
      <c r="AK192" s="12">
        <f t="shared" si="103"/>
        <v>420000</v>
      </c>
      <c r="AL192" s="12">
        <f t="shared" si="103"/>
        <v>420000</v>
      </c>
      <c r="AM192" s="12">
        <f t="shared" si="103"/>
        <v>420000</v>
      </c>
    </row>
    <row r="193" ht="15.75" customHeight="1">
      <c r="A193" s="3" t="s">
        <v>153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 t="str">
        <f t="shared" ref="X193:AM193" si="104">IF(X192&gt;=$C187, "Y", "N")</f>
        <v>N</v>
      </c>
      <c r="Y193" s="3" t="str">
        <f t="shared" si="104"/>
        <v>N</v>
      </c>
      <c r="Z193" s="3" t="str">
        <f t="shared" si="104"/>
        <v>N</v>
      </c>
      <c r="AA193" s="3" t="str">
        <f t="shared" si="104"/>
        <v>Y</v>
      </c>
      <c r="AB193" s="3" t="str">
        <f t="shared" si="104"/>
        <v>Y</v>
      </c>
      <c r="AC193" s="3" t="str">
        <f t="shared" si="104"/>
        <v>Y</v>
      </c>
      <c r="AD193" s="3" t="str">
        <f t="shared" si="104"/>
        <v>Y</v>
      </c>
      <c r="AE193" s="3" t="str">
        <f t="shared" si="104"/>
        <v>Y</v>
      </c>
      <c r="AF193" s="3" t="str">
        <f t="shared" si="104"/>
        <v>Y</v>
      </c>
      <c r="AG193" s="3" t="str">
        <f t="shared" si="104"/>
        <v>Y</v>
      </c>
      <c r="AH193" s="3" t="str">
        <f t="shared" si="104"/>
        <v>Y</v>
      </c>
      <c r="AI193" s="3" t="str">
        <f t="shared" si="104"/>
        <v>Y</v>
      </c>
      <c r="AJ193" s="3" t="str">
        <f t="shared" si="104"/>
        <v>Y</v>
      </c>
      <c r="AK193" s="3" t="str">
        <f t="shared" si="104"/>
        <v>Y</v>
      </c>
      <c r="AL193" s="3" t="str">
        <f t="shared" si="104"/>
        <v>Y</v>
      </c>
      <c r="AM193" s="3" t="str">
        <f t="shared" si="104"/>
        <v>Y</v>
      </c>
    </row>
    <row r="194" ht="15.75" customHeight="1">
      <c r="A194" s="3" t="s">
        <v>154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12">
        <f t="shared" ref="X194:AM194" si="105">X188-X191</f>
        <v>0</v>
      </c>
      <c r="Y194" s="12">
        <f t="shared" si="105"/>
        <v>0</v>
      </c>
      <c r="Z194" s="12">
        <f t="shared" si="105"/>
        <v>0</v>
      </c>
      <c r="AA194" s="12">
        <f t="shared" si="105"/>
        <v>15453.38792</v>
      </c>
      <c r="AB194" s="12">
        <f t="shared" si="105"/>
        <v>27871.09714</v>
      </c>
      <c r="AC194" s="12">
        <f t="shared" si="105"/>
        <v>24984.36651</v>
      </c>
      <c r="AD194" s="12">
        <f t="shared" si="105"/>
        <v>21577.61086</v>
      </c>
      <c r="AE194" s="12">
        <f t="shared" si="105"/>
        <v>19065.02414</v>
      </c>
      <c r="AF194" s="12">
        <f t="shared" si="105"/>
        <v>17043.36685</v>
      </c>
      <c r="AG194" s="12">
        <f t="shared" si="105"/>
        <v>19805.14658</v>
      </c>
      <c r="AH194" s="12">
        <f t="shared" si="105"/>
        <v>13800</v>
      </c>
      <c r="AI194" s="12">
        <f t="shared" si="105"/>
        <v>13800</v>
      </c>
      <c r="AJ194" s="12">
        <f t="shared" si="105"/>
        <v>13800</v>
      </c>
      <c r="AK194" s="12">
        <f t="shared" si="105"/>
        <v>3450</v>
      </c>
      <c r="AL194" s="12">
        <f t="shared" si="105"/>
        <v>3450</v>
      </c>
      <c r="AM194" s="12">
        <f t="shared" si="105"/>
        <v>3450</v>
      </c>
    </row>
    <row r="195" ht="15.75" customHeight="1"/>
    <row r="196" ht="15.75" customHeight="1">
      <c r="A196" s="2" t="str">
        <f>Acquisition_Plan!A25</f>
        <v>2027-10-24</v>
      </c>
      <c r="B196" s="12">
        <f>Acquisition_Plan!E25</f>
        <v>400000</v>
      </c>
      <c r="C196" s="12">
        <f>B196*(1+Inputs!$B$12)</f>
        <v>420000</v>
      </c>
    </row>
    <row r="197" ht="15.75" customHeight="1">
      <c r="A197" s="3" t="s">
        <v>147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12">
        <f>$B196*Inputs!$B$15*Curves!C5*(1-Inputs!$B$16)</f>
        <v>217995.1505</v>
      </c>
      <c r="Z197" s="12">
        <f>$B196*Inputs!$B$15*Curves!C6*(1-Inputs!$B$16)</f>
        <v>103947.5553</v>
      </c>
      <c r="AA197" s="12">
        <f>$B196*Inputs!$B$15*Curves!C7*(1-Inputs!$B$16)</f>
        <v>66631.45688</v>
      </c>
      <c r="AB197" s="12">
        <f>$B196*Inputs!$B$15*Curves!C8*(1-Inputs!$B$16)</f>
        <v>46879.22521</v>
      </c>
      <c r="AC197" s="12">
        <f>$B196*Inputs!$B$15*Curves!C9*(1-Inputs!$B$16)</f>
        <v>27871.09714</v>
      </c>
      <c r="AD197" s="12">
        <f>$B196*Inputs!$B$15*Curves!C10*(1-Inputs!$B$16)</f>
        <v>24984.36651</v>
      </c>
      <c r="AE197" s="12">
        <f>$B196*Inputs!$B$15*Curves!C11*(1-Inputs!$B$16)</f>
        <v>21577.61086</v>
      </c>
      <c r="AF197" s="12">
        <f>$B196*Inputs!$B$15*Curves!C12*(1-Inputs!$B$16)</f>
        <v>19065.02414</v>
      </c>
      <c r="AG197" s="12">
        <f>$B196*Inputs!$B$15*Curves!C13*(1-Inputs!$B$16)</f>
        <v>17043.36685</v>
      </c>
      <c r="AH197" s="12">
        <f>$B196*Inputs!$B$15*Curves!C14*(1-Inputs!$B$16)</f>
        <v>19805.14658</v>
      </c>
      <c r="AI197" s="12">
        <f>$B196*Inputs!$B$15*Curves!C15*(1-Inputs!$B$16)</f>
        <v>13800</v>
      </c>
      <c r="AJ197" s="12">
        <f>$B196*Inputs!$B$15*Curves!C16*(1-Inputs!$B$16)</f>
        <v>13800</v>
      </c>
      <c r="AK197" s="12">
        <f>$B196*Inputs!$B$15*Curves!C17*(1-Inputs!$B$16)</f>
        <v>13800</v>
      </c>
      <c r="AL197" s="12">
        <f>$B196*Inputs!$B$15*Curves!C18*(1-Inputs!$B$16)</f>
        <v>3450</v>
      </c>
      <c r="AM197" s="12">
        <f>$B196*Inputs!$B$15*Curves!C19*(1-Inputs!$B$16)</f>
        <v>3450</v>
      </c>
    </row>
    <row r="198" ht="15.75" customHeight="1">
      <c r="A198" s="3" t="s">
        <v>148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 t="s">
        <v>149</v>
      </c>
      <c r="Z198" s="3" t="str">
        <f t="shared" ref="Z198:AM198" si="106">IF($B196=0, "N", IF(Y201&gt;=$B196, "Y", "N"))</f>
        <v>N</v>
      </c>
      <c r="AA198" s="3" t="str">
        <f t="shared" si="106"/>
        <v>N</v>
      </c>
      <c r="AB198" s="3" t="str">
        <f t="shared" si="106"/>
        <v>N</v>
      </c>
      <c r="AC198" s="3" t="str">
        <f t="shared" si="106"/>
        <v>Y</v>
      </c>
      <c r="AD198" s="3" t="str">
        <f t="shared" si="106"/>
        <v>Y</v>
      </c>
      <c r="AE198" s="3" t="str">
        <f t="shared" si="106"/>
        <v>Y</v>
      </c>
      <c r="AF198" s="3" t="str">
        <f t="shared" si="106"/>
        <v>Y</v>
      </c>
      <c r="AG198" s="3" t="str">
        <f t="shared" si="106"/>
        <v>Y</v>
      </c>
      <c r="AH198" s="3" t="str">
        <f t="shared" si="106"/>
        <v>Y</v>
      </c>
      <c r="AI198" s="3" t="str">
        <f t="shared" si="106"/>
        <v>Y</v>
      </c>
      <c r="AJ198" s="3" t="str">
        <f t="shared" si="106"/>
        <v>Y</v>
      </c>
      <c r="AK198" s="3" t="str">
        <f t="shared" si="106"/>
        <v>Y</v>
      </c>
      <c r="AL198" s="3" t="str">
        <f t="shared" si="106"/>
        <v>Y</v>
      </c>
      <c r="AM198" s="3" t="str">
        <f t="shared" si="106"/>
        <v>Y</v>
      </c>
    </row>
    <row r="199" ht="15.75" customHeight="1">
      <c r="A199" s="3" t="s">
        <v>150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12">
        <v>0.0</v>
      </c>
      <c r="Z199" s="12">
        <f>IF(AND(Z198="Y", Y202="N"), $B196*Inputs!$B$12/12, 0)</f>
        <v>0</v>
      </c>
      <c r="AA199" s="12">
        <f>IF(AND(AA198="Y", Z202="N"), $B196*Inputs!$B$12/12, 0)</f>
        <v>0</v>
      </c>
      <c r="AB199" s="12">
        <f>IF(AND(AB198="Y", AA202="N"), $B196*Inputs!$B$12/12, 0)</f>
        <v>0</v>
      </c>
      <c r="AC199" s="12">
        <f>IF(AND(AC198="Y", AB202="N"), $B196*Inputs!$B$12/12, 0)</f>
        <v>0</v>
      </c>
      <c r="AD199" s="12">
        <f>IF(AND(AD198="Y", AC202="N"), $B196*Inputs!$B$12/12, 0)</f>
        <v>0</v>
      </c>
      <c r="AE199" s="12">
        <f>IF(AND(AE198="Y", AD202="N"), $B196*Inputs!$B$12/12, 0)</f>
        <v>0</v>
      </c>
      <c r="AF199" s="12">
        <f>IF(AND(AF198="Y", AE202="N"), $B196*Inputs!$B$12/12, 0)</f>
        <v>0</v>
      </c>
      <c r="AG199" s="12">
        <f>IF(AND(AG198="Y", AF202="N"), $B196*Inputs!$B$12/12, 0)</f>
        <v>0</v>
      </c>
      <c r="AH199" s="12">
        <f>IF(AND(AH198="Y", AG202="N"), $B196*Inputs!$B$12/12, 0)</f>
        <v>0</v>
      </c>
      <c r="AI199" s="12">
        <f>IF(AND(AI198="Y", AH202="N"), $B196*Inputs!$B$12/12, 0)</f>
        <v>0</v>
      </c>
      <c r="AJ199" s="12">
        <f>IF(AND(AJ198="Y", AI202="N"), $B196*Inputs!$B$12/12, 0)</f>
        <v>0</v>
      </c>
      <c r="AK199" s="12">
        <f>IF(AND(AK198="Y", AJ202="N"), $B196*Inputs!$B$12/12, 0)</f>
        <v>0</v>
      </c>
      <c r="AL199" s="12">
        <f>IF(AND(AL198="Y", AK202="N"), $B196*Inputs!$B$12/12, 0)</f>
        <v>0</v>
      </c>
      <c r="AM199" s="12">
        <f>IF(AND(AM198="Y", AL202="N"), $B196*Inputs!$B$12/12, 0)</f>
        <v>0</v>
      </c>
    </row>
    <row r="200" ht="15.75" customHeight="1">
      <c r="A200" s="3" t="s">
        <v>151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12">
        <f>IF($B196=0, 0, MIN(Y197, $C196))</f>
        <v>217995.1505</v>
      </c>
      <c r="Z200" s="12">
        <f t="shared" ref="Z200:AM200" si="107">IF($B196=0, 0, IF(Y202="Y", 0, IF(Z198="N", MIN(Z197, $C196-Y201), MIN(Z197*0.5+Z199, $C196-Y201))))</f>
        <v>103947.5553</v>
      </c>
      <c r="AA200" s="12">
        <f t="shared" si="107"/>
        <v>66631.45688</v>
      </c>
      <c r="AB200" s="12">
        <f t="shared" si="107"/>
        <v>31425.83729</v>
      </c>
      <c r="AC200" s="12">
        <f t="shared" si="107"/>
        <v>0</v>
      </c>
      <c r="AD200" s="12">
        <f t="shared" si="107"/>
        <v>0</v>
      </c>
      <c r="AE200" s="12">
        <f t="shared" si="107"/>
        <v>0</v>
      </c>
      <c r="AF200" s="12">
        <f t="shared" si="107"/>
        <v>0</v>
      </c>
      <c r="AG200" s="12">
        <f t="shared" si="107"/>
        <v>0</v>
      </c>
      <c r="AH200" s="12">
        <f t="shared" si="107"/>
        <v>0</v>
      </c>
      <c r="AI200" s="12">
        <f t="shared" si="107"/>
        <v>0</v>
      </c>
      <c r="AJ200" s="12">
        <f t="shared" si="107"/>
        <v>0</v>
      </c>
      <c r="AK200" s="12">
        <f t="shared" si="107"/>
        <v>0</v>
      </c>
      <c r="AL200" s="12">
        <f t="shared" si="107"/>
        <v>0</v>
      </c>
      <c r="AM200" s="12">
        <f t="shared" si="107"/>
        <v>0</v>
      </c>
    </row>
    <row r="201" ht="15.75" customHeight="1">
      <c r="A201" s="3" t="s">
        <v>152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12">
        <f>Y200</f>
        <v>217995.1505</v>
      </c>
      <c r="Z201" s="12">
        <f t="shared" ref="Z201:AM201" si="108">Y201+Z200</f>
        <v>321942.7058</v>
      </c>
      <c r="AA201" s="12">
        <f t="shared" si="108"/>
        <v>388574.1627</v>
      </c>
      <c r="AB201" s="12">
        <f t="shared" si="108"/>
        <v>420000</v>
      </c>
      <c r="AC201" s="12">
        <f t="shared" si="108"/>
        <v>420000</v>
      </c>
      <c r="AD201" s="12">
        <f t="shared" si="108"/>
        <v>420000</v>
      </c>
      <c r="AE201" s="12">
        <f t="shared" si="108"/>
        <v>420000</v>
      </c>
      <c r="AF201" s="12">
        <f t="shared" si="108"/>
        <v>420000</v>
      </c>
      <c r="AG201" s="12">
        <f t="shared" si="108"/>
        <v>420000</v>
      </c>
      <c r="AH201" s="12">
        <f t="shared" si="108"/>
        <v>420000</v>
      </c>
      <c r="AI201" s="12">
        <f t="shared" si="108"/>
        <v>420000</v>
      </c>
      <c r="AJ201" s="12">
        <f t="shared" si="108"/>
        <v>420000</v>
      </c>
      <c r="AK201" s="12">
        <f t="shared" si="108"/>
        <v>420000</v>
      </c>
      <c r="AL201" s="12">
        <f t="shared" si="108"/>
        <v>420000</v>
      </c>
      <c r="AM201" s="12">
        <f t="shared" si="108"/>
        <v>420000</v>
      </c>
    </row>
    <row r="202" ht="15.75" customHeight="1">
      <c r="A202" s="3" t="s">
        <v>153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 t="str">
        <f t="shared" ref="Y202:AM202" si="109">IF(Y201&gt;=$C196, "Y", "N")</f>
        <v>N</v>
      </c>
      <c r="Z202" s="3" t="str">
        <f t="shared" si="109"/>
        <v>N</v>
      </c>
      <c r="AA202" s="3" t="str">
        <f t="shared" si="109"/>
        <v>N</v>
      </c>
      <c r="AB202" s="3" t="str">
        <f t="shared" si="109"/>
        <v>Y</v>
      </c>
      <c r="AC202" s="3" t="str">
        <f t="shared" si="109"/>
        <v>Y</v>
      </c>
      <c r="AD202" s="3" t="str">
        <f t="shared" si="109"/>
        <v>Y</v>
      </c>
      <c r="AE202" s="3" t="str">
        <f t="shared" si="109"/>
        <v>Y</v>
      </c>
      <c r="AF202" s="3" t="str">
        <f t="shared" si="109"/>
        <v>Y</v>
      </c>
      <c r="AG202" s="3" t="str">
        <f t="shared" si="109"/>
        <v>Y</v>
      </c>
      <c r="AH202" s="3" t="str">
        <f t="shared" si="109"/>
        <v>Y</v>
      </c>
      <c r="AI202" s="3" t="str">
        <f t="shared" si="109"/>
        <v>Y</v>
      </c>
      <c r="AJ202" s="3" t="str">
        <f t="shared" si="109"/>
        <v>Y</v>
      </c>
      <c r="AK202" s="3" t="str">
        <f t="shared" si="109"/>
        <v>Y</v>
      </c>
      <c r="AL202" s="3" t="str">
        <f t="shared" si="109"/>
        <v>Y</v>
      </c>
      <c r="AM202" s="3" t="str">
        <f t="shared" si="109"/>
        <v>Y</v>
      </c>
    </row>
    <row r="203" ht="15.75" customHeight="1">
      <c r="A203" s="3" t="s">
        <v>154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12">
        <f t="shared" ref="Y203:AM203" si="110">Y197-Y200</f>
        <v>0</v>
      </c>
      <c r="Z203" s="12">
        <f t="shared" si="110"/>
        <v>0</v>
      </c>
      <c r="AA203" s="12">
        <f t="shared" si="110"/>
        <v>0</v>
      </c>
      <c r="AB203" s="12">
        <f t="shared" si="110"/>
        <v>15453.38792</v>
      </c>
      <c r="AC203" s="12">
        <f t="shared" si="110"/>
        <v>27871.09714</v>
      </c>
      <c r="AD203" s="12">
        <f t="shared" si="110"/>
        <v>24984.36651</v>
      </c>
      <c r="AE203" s="12">
        <f t="shared" si="110"/>
        <v>21577.61086</v>
      </c>
      <c r="AF203" s="12">
        <f t="shared" si="110"/>
        <v>19065.02414</v>
      </c>
      <c r="AG203" s="12">
        <f t="shared" si="110"/>
        <v>17043.36685</v>
      </c>
      <c r="AH203" s="12">
        <f t="shared" si="110"/>
        <v>19805.14658</v>
      </c>
      <c r="AI203" s="12">
        <f t="shared" si="110"/>
        <v>13800</v>
      </c>
      <c r="AJ203" s="12">
        <f t="shared" si="110"/>
        <v>13800</v>
      </c>
      <c r="AK203" s="12">
        <f t="shared" si="110"/>
        <v>13800</v>
      </c>
      <c r="AL203" s="12">
        <f t="shared" si="110"/>
        <v>3450</v>
      </c>
      <c r="AM203" s="12">
        <f t="shared" si="110"/>
        <v>3450</v>
      </c>
    </row>
    <row r="204" ht="15.75" customHeight="1"/>
    <row r="205" ht="15.75" customHeight="1">
      <c r="A205" s="2" t="str">
        <f>Acquisition_Plan!A26</f>
        <v>2027-11-23</v>
      </c>
      <c r="B205" s="12">
        <f>Acquisition_Plan!E26</f>
        <v>400000</v>
      </c>
      <c r="C205" s="12">
        <f>B205*(1+Inputs!$B$12)</f>
        <v>420000</v>
      </c>
    </row>
    <row r="206" ht="15.75" customHeight="1">
      <c r="A206" s="3" t="s">
        <v>147</v>
      </c>
      <c r="D206" s="3">
        <v>0.0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12">
        <f>$B205*Inputs!$B$15*Curves!C5*(1-Inputs!$B$16)</f>
        <v>217995.1505</v>
      </c>
      <c r="AA206" s="12">
        <f>$B205*Inputs!$B$15*Curves!C6*(1-Inputs!$B$16)</f>
        <v>103947.5553</v>
      </c>
      <c r="AB206" s="12">
        <f>$B205*Inputs!$B$15*Curves!C7*(1-Inputs!$B$16)</f>
        <v>66631.45688</v>
      </c>
      <c r="AC206" s="12">
        <f>$B205*Inputs!$B$15*Curves!C8*(1-Inputs!$B$16)</f>
        <v>46879.22521</v>
      </c>
      <c r="AD206" s="12">
        <f>$B205*Inputs!$B$15*Curves!C9*(1-Inputs!$B$16)</f>
        <v>27871.09714</v>
      </c>
      <c r="AE206" s="12">
        <f>$B205*Inputs!$B$15*Curves!C10*(1-Inputs!$B$16)</f>
        <v>24984.36651</v>
      </c>
      <c r="AF206" s="12">
        <f>$B205*Inputs!$B$15*Curves!C11*(1-Inputs!$B$16)</f>
        <v>21577.61086</v>
      </c>
      <c r="AG206" s="12">
        <f>$B205*Inputs!$B$15*Curves!C12*(1-Inputs!$B$16)</f>
        <v>19065.02414</v>
      </c>
      <c r="AH206" s="12">
        <f>$B205*Inputs!$B$15*Curves!C13*(1-Inputs!$B$16)</f>
        <v>17043.36685</v>
      </c>
      <c r="AI206" s="12">
        <f>$B205*Inputs!$B$15*Curves!C14*(1-Inputs!$B$16)</f>
        <v>19805.14658</v>
      </c>
      <c r="AJ206" s="12">
        <f>$B205*Inputs!$B$15*Curves!C15*(1-Inputs!$B$16)</f>
        <v>13800</v>
      </c>
      <c r="AK206" s="12">
        <f>$B205*Inputs!$B$15*Curves!C16*(1-Inputs!$B$16)</f>
        <v>13800</v>
      </c>
      <c r="AL206" s="12">
        <f>$B205*Inputs!$B$15*Curves!C17*(1-Inputs!$B$16)</f>
        <v>13800</v>
      </c>
      <c r="AM206" s="12">
        <f>$B205*Inputs!$B$15*Curves!C18*(1-Inputs!$B$16)</f>
        <v>3450</v>
      </c>
    </row>
    <row r="207" ht="15.75" customHeight="1">
      <c r="A207" s="3" t="s">
        <v>148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 t="s">
        <v>149</v>
      </c>
      <c r="AA207" s="3" t="str">
        <f t="shared" ref="AA207:AM207" si="111">IF($B205=0, "N", IF(Z210&gt;=$B205, "Y", "N"))</f>
        <v>N</v>
      </c>
      <c r="AB207" s="3" t="str">
        <f t="shared" si="111"/>
        <v>N</v>
      </c>
      <c r="AC207" s="3" t="str">
        <f t="shared" si="111"/>
        <v>N</v>
      </c>
      <c r="AD207" s="3" t="str">
        <f t="shared" si="111"/>
        <v>Y</v>
      </c>
      <c r="AE207" s="3" t="str">
        <f t="shared" si="111"/>
        <v>Y</v>
      </c>
      <c r="AF207" s="3" t="str">
        <f t="shared" si="111"/>
        <v>Y</v>
      </c>
      <c r="AG207" s="3" t="str">
        <f t="shared" si="111"/>
        <v>Y</v>
      </c>
      <c r="AH207" s="3" t="str">
        <f t="shared" si="111"/>
        <v>Y</v>
      </c>
      <c r="AI207" s="3" t="str">
        <f t="shared" si="111"/>
        <v>Y</v>
      </c>
      <c r="AJ207" s="3" t="str">
        <f t="shared" si="111"/>
        <v>Y</v>
      </c>
      <c r="AK207" s="3" t="str">
        <f t="shared" si="111"/>
        <v>Y</v>
      </c>
      <c r="AL207" s="3" t="str">
        <f t="shared" si="111"/>
        <v>Y</v>
      </c>
      <c r="AM207" s="3" t="str">
        <f t="shared" si="111"/>
        <v>Y</v>
      </c>
    </row>
    <row r="208" ht="15.75" customHeight="1">
      <c r="A208" s="3" t="s">
        <v>150</v>
      </c>
      <c r="D208" s="3">
        <v>0.0</v>
      </c>
      <c r="E208" s="3">
        <v>0.0</v>
      </c>
      <c r="F208" s="3">
        <v>0.0</v>
      </c>
      <c r="G208" s="3">
        <v>0.0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0.0</v>
      </c>
      <c r="Z208" s="12">
        <v>0.0</v>
      </c>
      <c r="AA208" s="12">
        <f>IF(AND(AA207="Y", Z211="N"), $B205*Inputs!$B$12/12, 0)</f>
        <v>0</v>
      </c>
      <c r="AB208" s="12">
        <f>IF(AND(AB207="Y", AA211="N"), $B205*Inputs!$B$12/12, 0)</f>
        <v>0</v>
      </c>
      <c r="AC208" s="12">
        <f>IF(AND(AC207="Y", AB211="N"), $B205*Inputs!$B$12/12, 0)</f>
        <v>0</v>
      </c>
      <c r="AD208" s="12">
        <f>IF(AND(AD207="Y", AC211="N"), $B205*Inputs!$B$12/12, 0)</f>
        <v>0</v>
      </c>
      <c r="AE208" s="12">
        <f>IF(AND(AE207="Y", AD211="N"), $B205*Inputs!$B$12/12, 0)</f>
        <v>0</v>
      </c>
      <c r="AF208" s="12">
        <f>IF(AND(AF207="Y", AE211="N"), $B205*Inputs!$B$12/12, 0)</f>
        <v>0</v>
      </c>
      <c r="AG208" s="12">
        <f>IF(AND(AG207="Y", AF211="N"), $B205*Inputs!$B$12/12, 0)</f>
        <v>0</v>
      </c>
      <c r="AH208" s="12">
        <f>IF(AND(AH207="Y", AG211="N"), $B205*Inputs!$B$12/12, 0)</f>
        <v>0</v>
      </c>
      <c r="AI208" s="12">
        <f>IF(AND(AI207="Y", AH211="N"), $B205*Inputs!$B$12/12, 0)</f>
        <v>0</v>
      </c>
      <c r="AJ208" s="12">
        <f>IF(AND(AJ207="Y", AI211="N"), $B205*Inputs!$B$12/12, 0)</f>
        <v>0</v>
      </c>
      <c r="AK208" s="12">
        <f>IF(AND(AK207="Y", AJ211="N"), $B205*Inputs!$B$12/12, 0)</f>
        <v>0</v>
      </c>
      <c r="AL208" s="12">
        <f>IF(AND(AL207="Y", AK211="N"), $B205*Inputs!$B$12/12, 0)</f>
        <v>0</v>
      </c>
      <c r="AM208" s="12">
        <f>IF(AND(AM207="Y", AL211="N"), $B205*Inputs!$B$12/12, 0)</f>
        <v>0</v>
      </c>
    </row>
    <row r="209" ht="15.75" customHeight="1">
      <c r="A209" s="3" t="s">
        <v>151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12">
        <f>IF($B205=0, 0, MIN(Z206, $C205))</f>
        <v>217995.1505</v>
      </c>
      <c r="AA209" s="12">
        <f t="shared" ref="AA209:AM209" si="112">IF($B205=0, 0, IF(Z211="Y", 0, IF(AA207="N", MIN(AA206, $C205-Z210), MIN(AA206*0.5+AA208, $C205-Z210))))</f>
        <v>103947.5553</v>
      </c>
      <c r="AB209" s="12">
        <f t="shared" si="112"/>
        <v>66631.45688</v>
      </c>
      <c r="AC209" s="12">
        <f t="shared" si="112"/>
        <v>31425.83729</v>
      </c>
      <c r="AD209" s="12">
        <f t="shared" si="112"/>
        <v>0</v>
      </c>
      <c r="AE209" s="12">
        <f t="shared" si="112"/>
        <v>0</v>
      </c>
      <c r="AF209" s="12">
        <f t="shared" si="112"/>
        <v>0</v>
      </c>
      <c r="AG209" s="12">
        <f t="shared" si="112"/>
        <v>0</v>
      </c>
      <c r="AH209" s="12">
        <f t="shared" si="112"/>
        <v>0</v>
      </c>
      <c r="AI209" s="12">
        <f t="shared" si="112"/>
        <v>0</v>
      </c>
      <c r="AJ209" s="12">
        <f t="shared" si="112"/>
        <v>0</v>
      </c>
      <c r="AK209" s="12">
        <f t="shared" si="112"/>
        <v>0</v>
      </c>
      <c r="AL209" s="12">
        <f t="shared" si="112"/>
        <v>0</v>
      </c>
      <c r="AM209" s="12">
        <f t="shared" si="112"/>
        <v>0</v>
      </c>
    </row>
    <row r="210" ht="15.75" customHeight="1">
      <c r="A210" s="3" t="s">
        <v>152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12">
        <f>Z209</f>
        <v>217995.1505</v>
      </c>
      <c r="AA210" s="12">
        <f t="shared" ref="AA210:AM210" si="113">Z210+AA209</f>
        <v>321942.7058</v>
      </c>
      <c r="AB210" s="12">
        <f t="shared" si="113"/>
        <v>388574.1627</v>
      </c>
      <c r="AC210" s="12">
        <f t="shared" si="113"/>
        <v>420000</v>
      </c>
      <c r="AD210" s="12">
        <f t="shared" si="113"/>
        <v>420000</v>
      </c>
      <c r="AE210" s="12">
        <f t="shared" si="113"/>
        <v>420000</v>
      </c>
      <c r="AF210" s="12">
        <f t="shared" si="113"/>
        <v>420000</v>
      </c>
      <c r="AG210" s="12">
        <f t="shared" si="113"/>
        <v>420000</v>
      </c>
      <c r="AH210" s="12">
        <f t="shared" si="113"/>
        <v>420000</v>
      </c>
      <c r="AI210" s="12">
        <f t="shared" si="113"/>
        <v>420000</v>
      </c>
      <c r="AJ210" s="12">
        <f t="shared" si="113"/>
        <v>420000</v>
      </c>
      <c r="AK210" s="12">
        <f t="shared" si="113"/>
        <v>420000</v>
      </c>
      <c r="AL210" s="12">
        <f t="shared" si="113"/>
        <v>420000</v>
      </c>
      <c r="AM210" s="12">
        <f t="shared" si="113"/>
        <v>420000</v>
      </c>
    </row>
    <row r="211" ht="15.75" customHeight="1">
      <c r="A211" s="3" t="s">
        <v>153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 t="str">
        <f t="shared" ref="Z211:AM211" si="114">IF(Z210&gt;=$C205, "Y", "N")</f>
        <v>N</v>
      </c>
      <c r="AA211" s="3" t="str">
        <f t="shared" si="114"/>
        <v>N</v>
      </c>
      <c r="AB211" s="3" t="str">
        <f t="shared" si="114"/>
        <v>N</v>
      </c>
      <c r="AC211" s="3" t="str">
        <f t="shared" si="114"/>
        <v>Y</v>
      </c>
      <c r="AD211" s="3" t="str">
        <f t="shared" si="114"/>
        <v>Y</v>
      </c>
      <c r="AE211" s="3" t="str">
        <f t="shared" si="114"/>
        <v>Y</v>
      </c>
      <c r="AF211" s="3" t="str">
        <f t="shared" si="114"/>
        <v>Y</v>
      </c>
      <c r="AG211" s="3" t="str">
        <f t="shared" si="114"/>
        <v>Y</v>
      </c>
      <c r="AH211" s="3" t="str">
        <f t="shared" si="114"/>
        <v>Y</v>
      </c>
      <c r="AI211" s="3" t="str">
        <f t="shared" si="114"/>
        <v>Y</v>
      </c>
      <c r="AJ211" s="3" t="str">
        <f t="shared" si="114"/>
        <v>Y</v>
      </c>
      <c r="AK211" s="3" t="str">
        <f t="shared" si="114"/>
        <v>Y</v>
      </c>
      <c r="AL211" s="3" t="str">
        <f t="shared" si="114"/>
        <v>Y</v>
      </c>
      <c r="AM211" s="3" t="str">
        <f t="shared" si="114"/>
        <v>Y</v>
      </c>
    </row>
    <row r="212" ht="15.75" customHeight="1">
      <c r="A212" s="3" t="s">
        <v>154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12">
        <f t="shared" ref="Z212:AM212" si="115">Z206-Z209</f>
        <v>0</v>
      </c>
      <c r="AA212" s="12">
        <f t="shared" si="115"/>
        <v>0</v>
      </c>
      <c r="AB212" s="12">
        <f t="shared" si="115"/>
        <v>0</v>
      </c>
      <c r="AC212" s="12">
        <f t="shared" si="115"/>
        <v>15453.38792</v>
      </c>
      <c r="AD212" s="12">
        <f t="shared" si="115"/>
        <v>27871.09714</v>
      </c>
      <c r="AE212" s="12">
        <f t="shared" si="115"/>
        <v>24984.36651</v>
      </c>
      <c r="AF212" s="12">
        <f t="shared" si="115"/>
        <v>21577.61086</v>
      </c>
      <c r="AG212" s="12">
        <f t="shared" si="115"/>
        <v>19065.02414</v>
      </c>
      <c r="AH212" s="12">
        <f t="shared" si="115"/>
        <v>17043.36685</v>
      </c>
      <c r="AI212" s="12">
        <f t="shared" si="115"/>
        <v>19805.14658</v>
      </c>
      <c r="AJ212" s="12">
        <f t="shared" si="115"/>
        <v>13800</v>
      </c>
      <c r="AK212" s="12">
        <f t="shared" si="115"/>
        <v>13800</v>
      </c>
      <c r="AL212" s="12">
        <f t="shared" si="115"/>
        <v>13800</v>
      </c>
      <c r="AM212" s="12">
        <f t="shared" si="115"/>
        <v>3450</v>
      </c>
    </row>
    <row r="213" ht="15.75" customHeight="1"/>
    <row r="214" ht="15.75" customHeight="1">
      <c r="A214" s="2" t="str">
        <f>Acquisition_Plan!A27</f>
        <v>2027-12-23</v>
      </c>
      <c r="B214" s="12">
        <f>Acquisition_Plan!E27</f>
        <v>400000</v>
      </c>
      <c r="C214" s="12">
        <f>B214*(1+Inputs!$B$12)</f>
        <v>420000</v>
      </c>
    </row>
    <row r="215" ht="15.75" customHeight="1">
      <c r="A215" s="3" t="s">
        <v>147</v>
      </c>
      <c r="D215" s="3">
        <v>0.0</v>
      </c>
      <c r="E215" s="3">
        <v>0.0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12">
        <f>$B214*Inputs!$B$15*Curves!C5*(1-Inputs!$B$16)</f>
        <v>217995.1505</v>
      </c>
      <c r="AB215" s="12">
        <f>$B214*Inputs!$B$15*Curves!C6*(1-Inputs!$B$16)</f>
        <v>103947.5553</v>
      </c>
      <c r="AC215" s="12">
        <f>$B214*Inputs!$B$15*Curves!C7*(1-Inputs!$B$16)</f>
        <v>66631.45688</v>
      </c>
      <c r="AD215" s="12">
        <f>$B214*Inputs!$B$15*Curves!C8*(1-Inputs!$B$16)</f>
        <v>46879.22521</v>
      </c>
      <c r="AE215" s="12">
        <f>$B214*Inputs!$B$15*Curves!C9*(1-Inputs!$B$16)</f>
        <v>27871.09714</v>
      </c>
      <c r="AF215" s="12">
        <f>$B214*Inputs!$B$15*Curves!C10*(1-Inputs!$B$16)</f>
        <v>24984.36651</v>
      </c>
      <c r="AG215" s="12">
        <f>$B214*Inputs!$B$15*Curves!C11*(1-Inputs!$B$16)</f>
        <v>21577.61086</v>
      </c>
      <c r="AH215" s="12">
        <f>$B214*Inputs!$B$15*Curves!C12*(1-Inputs!$B$16)</f>
        <v>19065.02414</v>
      </c>
      <c r="AI215" s="12">
        <f>$B214*Inputs!$B$15*Curves!C13*(1-Inputs!$B$16)</f>
        <v>17043.36685</v>
      </c>
      <c r="AJ215" s="12">
        <f>$B214*Inputs!$B$15*Curves!C14*(1-Inputs!$B$16)</f>
        <v>19805.14658</v>
      </c>
      <c r="AK215" s="12">
        <f>$B214*Inputs!$B$15*Curves!C15*(1-Inputs!$B$16)</f>
        <v>13800</v>
      </c>
      <c r="AL215" s="12">
        <f>$B214*Inputs!$B$15*Curves!C16*(1-Inputs!$B$16)</f>
        <v>13800</v>
      </c>
      <c r="AM215" s="12">
        <f>$B214*Inputs!$B$15*Curves!C17*(1-Inputs!$B$16)</f>
        <v>13800</v>
      </c>
    </row>
    <row r="216" ht="15.75" customHeight="1">
      <c r="A216" s="3" t="s">
        <v>148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 t="s">
        <v>149</v>
      </c>
      <c r="AB216" s="3" t="str">
        <f t="shared" ref="AB216:AM216" si="116">IF($B214=0, "N", IF(AA219&gt;=$B214, "Y", "N"))</f>
        <v>N</v>
      </c>
      <c r="AC216" s="3" t="str">
        <f t="shared" si="116"/>
        <v>N</v>
      </c>
      <c r="AD216" s="3" t="str">
        <f t="shared" si="116"/>
        <v>N</v>
      </c>
      <c r="AE216" s="3" t="str">
        <f t="shared" si="116"/>
        <v>Y</v>
      </c>
      <c r="AF216" s="3" t="str">
        <f t="shared" si="116"/>
        <v>Y</v>
      </c>
      <c r="AG216" s="3" t="str">
        <f t="shared" si="116"/>
        <v>Y</v>
      </c>
      <c r="AH216" s="3" t="str">
        <f t="shared" si="116"/>
        <v>Y</v>
      </c>
      <c r="AI216" s="3" t="str">
        <f t="shared" si="116"/>
        <v>Y</v>
      </c>
      <c r="AJ216" s="3" t="str">
        <f t="shared" si="116"/>
        <v>Y</v>
      </c>
      <c r="AK216" s="3" t="str">
        <f t="shared" si="116"/>
        <v>Y</v>
      </c>
      <c r="AL216" s="3" t="str">
        <f t="shared" si="116"/>
        <v>Y</v>
      </c>
      <c r="AM216" s="3" t="str">
        <f t="shared" si="116"/>
        <v>Y</v>
      </c>
    </row>
    <row r="217" ht="15.75" customHeight="1">
      <c r="A217" s="3" t="s">
        <v>150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12">
        <v>0.0</v>
      </c>
      <c r="AB217" s="12">
        <f>IF(AND(AB216="Y", AA220="N"), $B214*Inputs!$B$12/12, 0)</f>
        <v>0</v>
      </c>
      <c r="AC217" s="12">
        <f>IF(AND(AC216="Y", AB220="N"), $B214*Inputs!$B$12/12, 0)</f>
        <v>0</v>
      </c>
      <c r="AD217" s="12">
        <f>IF(AND(AD216="Y", AC220="N"), $B214*Inputs!$B$12/12, 0)</f>
        <v>0</v>
      </c>
      <c r="AE217" s="12">
        <f>IF(AND(AE216="Y", AD220="N"), $B214*Inputs!$B$12/12, 0)</f>
        <v>0</v>
      </c>
      <c r="AF217" s="12">
        <f>IF(AND(AF216="Y", AE220="N"), $B214*Inputs!$B$12/12, 0)</f>
        <v>0</v>
      </c>
      <c r="AG217" s="12">
        <f>IF(AND(AG216="Y", AF220="N"), $B214*Inputs!$B$12/12, 0)</f>
        <v>0</v>
      </c>
      <c r="AH217" s="12">
        <f>IF(AND(AH216="Y", AG220="N"), $B214*Inputs!$B$12/12, 0)</f>
        <v>0</v>
      </c>
      <c r="AI217" s="12">
        <f>IF(AND(AI216="Y", AH220="N"), $B214*Inputs!$B$12/12, 0)</f>
        <v>0</v>
      </c>
      <c r="AJ217" s="12">
        <f>IF(AND(AJ216="Y", AI220="N"), $B214*Inputs!$B$12/12, 0)</f>
        <v>0</v>
      </c>
      <c r="AK217" s="12">
        <f>IF(AND(AK216="Y", AJ220="N"), $B214*Inputs!$B$12/12, 0)</f>
        <v>0</v>
      </c>
      <c r="AL217" s="12">
        <f>IF(AND(AL216="Y", AK220="N"), $B214*Inputs!$B$12/12, 0)</f>
        <v>0</v>
      </c>
      <c r="AM217" s="12">
        <f>IF(AND(AM216="Y", AL220="N"), $B214*Inputs!$B$12/12, 0)</f>
        <v>0</v>
      </c>
    </row>
    <row r="218" ht="15.75" customHeight="1">
      <c r="A218" s="3" t="s">
        <v>151</v>
      </c>
      <c r="D218" s="3">
        <v>0.0</v>
      </c>
      <c r="E218" s="3">
        <v>0.0</v>
      </c>
      <c r="F218" s="3">
        <v>0.0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12">
        <f>IF($B214=0, 0, MIN(AA215, $C214))</f>
        <v>217995.1505</v>
      </c>
      <c r="AB218" s="12">
        <f t="shared" ref="AB218:AM218" si="117">IF($B214=0, 0, IF(AA220="Y", 0, IF(AB216="N", MIN(AB215, $C214-AA219), MIN(AB215*0.5+AB217, $C214-AA219))))</f>
        <v>103947.5553</v>
      </c>
      <c r="AC218" s="12">
        <f t="shared" si="117"/>
        <v>66631.45688</v>
      </c>
      <c r="AD218" s="12">
        <f t="shared" si="117"/>
        <v>31425.83729</v>
      </c>
      <c r="AE218" s="12">
        <f t="shared" si="117"/>
        <v>0</v>
      </c>
      <c r="AF218" s="12">
        <f t="shared" si="117"/>
        <v>0</v>
      </c>
      <c r="AG218" s="12">
        <f t="shared" si="117"/>
        <v>0</v>
      </c>
      <c r="AH218" s="12">
        <f t="shared" si="117"/>
        <v>0</v>
      </c>
      <c r="AI218" s="12">
        <f t="shared" si="117"/>
        <v>0</v>
      </c>
      <c r="AJ218" s="12">
        <f t="shared" si="117"/>
        <v>0</v>
      </c>
      <c r="AK218" s="12">
        <f t="shared" si="117"/>
        <v>0</v>
      </c>
      <c r="AL218" s="12">
        <f t="shared" si="117"/>
        <v>0</v>
      </c>
      <c r="AM218" s="12">
        <f t="shared" si="117"/>
        <v>0</v>
      </c>
    </row>
    <row r="219" ht="15.75" customHeight="1">
      <c r="A219" s="3" t="s">
        <v>152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12">
        <f>AA218</f>
        <v>217995.1505</v>
      </c>
      <c r="AB219" s="12">
        <f t="shared" ref="AB219:AM219" si="118">AA219+AB218</f>
        <v>321942.7058</v>
      </c>
      <c r="AC219" s="12">
        <f t="shared" si="118"/>
        <v>388574.1627</v>
      </c>
      <c r="AD219" s="12">
        <f t="shared" si="118"/>
        <v>420000</v>
      </c>
      <c r="AE219" s="12">
        <f t="shared" si="118"/>
        <v>420000</v>
      </c>
      <c r="AF219" s="12">
        <f t="shared" si="118"/>
        <v>420000</v>
      </c>
      <c r="AG219" s="12">
        <f t="shared" si="118"/>
        <v>420000</v>
      </c>
      <c r="AH219" s="12">
        <f t="shared" si="118"/>
        <v>420000</v>
      </c>
      <c r="AI219" s="12">
        <f t="shared" si="118"/>
        <v>420000</v>
      </c>
      <c r="AJ219" s="12">
        <f t="shared" si="118"/>
        <v>420000</v>
      </c>
      <c r="AK219" s="12">
        <f t="shared" si="118"/>
        <v>420000</v>
      </c>
      <c r="AL219" s="12">
        <f t="shared" si="118"/>
        <v>420000</v>
      </c>
      <c r="AM219" s="12">
        <f t="shared" si="118"/>
        <v>420000</v>
      </c>
    </row>
    <row r="220" ht="15.75" customHeight="1">
      <c r="A220" s="3" t="s">
        <v>153</v>
      </c>
      <c r="D220" s="3">
        <v>0.0</v>
      </c>
      <c r="E220" s="3">
        <v>0.0</v>
      </c>
      <c r="F220" s="3">
        <v>0.0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 t="str">
        <f t="shared" ref="AA220:AM220" si="119">IF(AA219&gt;=$C214, "Y", "N")</f>
        <v>N</v>
      </c>
      <c r="AB220" s="3" t="str">
        <f t="shared" si="119"/>
        <v>N</v>
      </c>
      <c r="AC220" s="3" t="str">
        <f t="shared" si="119"/>
        <v>N</v>
      </c>
      <c r="AD220" s="3" t="str">
        <f t="shared" si="119"/>
        <v>Y</v>
      </c>
      <c r="AE220" s="3" t="str">
        <f t="shared" si="119"/>
        <v>Y</v>
      </c>
      <c r="AF220" s="3" t="str">
        <f t="shared" si="119"/>
        <v>Y</v>
      </c>
      <c r="AG220" s="3" t="str">
        <f t="shared" si="119"/>
        <v>Y</v>
      </c>
      <c r="AH220" s="3" t="str">
        <f t="shared" si="119"/>
        <v>Y</v>
      </c>
      <c r="AI220" s="3" t="str">
        <f t="shared" si="119"/>
        <v>Y</v>
      </c>
      <c r="AJ220" s="3" t="str">
        <f t="shared" si="119"/>
        <v>Y</v>
      </c>
      <c r="AK220" s="3" t="str">
        <f t="shared" si="119"/>
        <v>Y</v>
      </c>
      <c r="AL220" s="3" t="str">
        <f t="shared" si="119"/>
        <v>Y</v>
      </c>
      <c r="AM220" s="3" t="str">
        <f t="shared" si="119"/>
        <v>Y</v>
      </c>
    </row>
    <row r="221" ht="15.75" customHeight="1">
      <c r="A221" s="3" t="s">
        <v>154</v>
      </c>
      <c r="D221" s="3">
        <v>0.0</v>
      </c>
      <c r="E221" s="3">
        <v>0.0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12">
        <f t="shared" ref="AA221:AM221" si="120">AA215-AA218</f>
        <v>0</v>
      </c>
      <c r="AB221" s="12">
        <f t="shared" si="120"/>
        <v>0</v>
      </c>
      <c r="AC221" s="12">
        <f t="shared" si="120"/>
        <v>0</v>
      </c>
      <c r="AD221" s="12">
        <f t="shared" si="120"/>
        <v>15453.38792</v>
      </c>
      <c r="AE221" s="12">
        <f t="shared" si="120"/>
        <v>27871.09714</v>
      </c>
      <c r="AF221" s="12">
        <f t="shared" si="120"/>
        <v>24984.36651</v>
      </c>
      <c r="AG221" s="12">
        <f t="shared" si="120"/>
        <v>21577.61086</v>
      </c>
      <c r="AH221" s="12">
        <f t="shared" si="120"/>
        <v>19065.02414</v>
      </c>
      <c r="AI221" s="12">
        <f t="shared" si="120"/>
        <v>17043.36685</v>
      </c>
      <c r="AJ221" s="12">
        <f t="shared" si="120"/>
        <v>19805.14658</v>
      </c>
      <c r="AK221" s="12">
        <f t="shared" si="120"/>
        <v>13800</v>
      </c>
      <c r="AL221" s="12">
        <f t="shared" si="120"/>
        <v>13800</v>
      </c>
      <c r="AM221" s="12">
        <f t="shared" si="120"/>
        <v>13800</v>
      </c>
    </row>
    <row r="222" ht="15.75" customHeight="1"/>
    <row r="223" ht="15.75" customHeight="1">
      <c r="A223" s="2" t="str">
        <f>Acquisition_Plan!A28</f>
        <v>2028-01-22</v>
      </c>
      <c r="B223" s="12">
        <f>Acquisition_Plan!E28</f>
        <v>400000</v>
      </c>
      <c r="C223" s="12">
        <f>B223*(1+Inputs!$B$12)</f>
        <v>420000</v>
      </c>
    </row>
    <row r="224" ht="15.75" customHeight="1">
      <c r="A224" s="3" t="s">
        <v>147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12">
        <f>$B223*Inputs!$B$15*Curves!C5*(1-Inputs!$B$16)</f>
        <v>217995.1505</v>
      </c>
      <c r="AC224" s="12">
        <f>$B223*Inputs!$B$15*Curves!C6*(1-Inputs!$B$16)</f>
        <v>103947.5553</v>
      </c>
      <c r="AD224" s="12">
        <f>$B223*Inputs!$B$15*Curves!C7*(1-Inputs!$B$16)</f>
        <v>66631.45688</v>
      </c>
      <c r="AE224" s="12">
        <f>$B223*Inputs!$B$15*Curves!C8*(1-Inputs!$B$16)</f>
        <v>46879.22521</v>
      </c>
      <c r="AF224" s="12">
        <f>$B223*Inputs!$B$15*Curves!C9*(1-Inputs!$B$16)</f>
        <v>27871.09714</v>
      </c>
      <c r="AG224" s="12">
        <f>$B223*Inputs!$B$15*Curves!C10*(1-Inputs!$B$16)</f>
        <v>24984.36651</v>
      </c>
      <c r="AH224" s="12">
        <f>$B223*Inputs!$B$15*Curves!C11*(1-Inputs!$B$16)</f>
        <v>21577.61086</v>
      </c>
      <c r="AI224" s="12">
        <f>$B223*Inputs!$B$15*Curves!C12*(1-Inputs!$B$16)</f>
        <v>19065.02414</v>
      </c>
      <c r="AJ224" s="12">
        <f>$B223*Inputs!$B$15*Curves!C13*(1-Inputs!$B$16)</f>
        <v>17043.36685</v>
      </c>
      <c r="AK224" s="12">
        <f>$B223*Inputs!$B$15*Curves!C14*(1-Inputs!$B$16)</f>
        <v>19805.14658</v>
      </c>
      <c r="AL224" s="12">
        <f>$B223*Inputs!$B$15*Curves!C15*(1-Inputs!$B$16)</f>
        <v>13800</v>
      </c>
      <c r="AM224" s="12">
        <f>$B223*Inputs!$B$15*Curves!C16*(1-Inputs!$B$16)</f>
        <v>13800</v>
      </c>
    </row>
    <row r="225" ht="15.75" customHeight="1">
      <c r="A225" s="3" t="s">
        <v>148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 t="s">
        <v>149</v>
      </c>
      <c r="AC225" s="3" t="str">
        <f t="shared" ref="AC225:AM225" si="121">IF($B223=0, "N", IF(AB228&gt;=$B223, "Y", "N"))</f>
        <v>N</v>
      </c>
      <c r="AD225" s="3" t="str">
        <f t="shared" si="121"/>
        <v>N</v>
      </c>
      <c r="AE225" s="3" t="str">
        <f t="shared" si="121"/>
        <v>N</v>
      </c>
      <c r="AF225" s="3" t="str">
        <f t="shared" si="121"/>
        <v>Y</v>
      </c>
      <c r="AG225" s="3" t="str">
        <f t="shared" si="121"/>
        <v>Y</v>
      </c>
      <c r="AH225" s="3" t="str">
        <f t="shared" si="121"/>
        <v>Y</v>
      </c>
      <c r="AI225" s="3" t="str">
        <f t="shared" si="121"/>
        <v>Y</v>
      </c>
      <c r="AJ225" s="3" t="str">
        <f t="shared" si="121"/>
        <v>Y</v>
      </c>
      <c r="AK225" s="3" t="str">
        <f t="shared" si="121"/>
        <v>Y</v>
      </c>
      <c r="AL225" s="3" t="str">
        <f t="shared" si="121"/>
        <v>Y</v>
      </c>
      <c r="AM225" s="3" t="str">
        <f t="shared" si="121"/>
        <v>Y</v>
      </c>
    </row>
    <row r="226" ht="15.75" customHeight="1">
      <c r="A226" s="3" t="s">
        <v>150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12">
        <v>0.0</v>
      </c>
      <c r="AC226" s="12">
        <f>IF(AND(AC225="Y", AB229="N"), $B223*Inputs!$B$12/12, 0)</f>
        <v>0</v>
      </c>
      <c r="AD226" s="12">
        <f>IF(AND(AD225="Y", AC229="N"), $B223*Inputs!$B$12/12, 0)</f>
        <v>0</v>
      </c>
      <c r="AE226" s="12">
        <f>IF(AND(AE225="Y", AD229="N"), $B223*Inputs!$B$12/12, 0)</f>
        <v>0</v>
      </c>
      <c r="AF226" s="12">
        <f>IF(AND(AF225="Y", AE229="N"), $B223*Inputs!$B$12/12, 0)</f>
        <v>0</v>
      </c>
      <c r="AG226" s="12">
        <f>IF(AND(AG225="Y", AF229="N"), $B223*Inputs!$B$12/12, 0)</f>
        <v>0</v>
      </c>
      <c r="AH226" s="12">
        <f>IF(AND(AH225="Y", AG229="N"), $B223*Inputs!$B$12/12, 0)</f>
        <v>0</v>
      </c>
      <c r="AI226" s="12">
        <f>IF(AND(AI225="Y", AH229="N"), $B223*Inputs!$B$12/12, 0)</f>
        <v>0</v>
      </c>
      <c r="AJ226" s="12">
        <f>IF(AND(AJ225="Y", AI229="N"), $B223*Inputs!$B$12/12, 0)</f>
        <v>0</v>
      </c>
      <c r="AK226" s="12">
        <f>IF(AND(AK225="Y", AJ229="N"), $B223*Inputs!$B$12/12, 0)</f>
        <v>0</v>
      </c>
      <c r="AL226" s="12">
        <f>IF(AND(AL225="Y", AK229="N"), $B223*Inputs!$B$12/12, 0)</f>
        <v>0</v>
      </c>
      <c r="AM226" s="12">
        <f>IF(AND(AM225="Y", AL229="N"), $B223*Inputs!$B$12/12, 0)</f>
        <v>0</v>
      </c>
    </row>
    <row r="227" ht="15.75" customHeight="1">
      <c r="A227" s="3" t="s">
        <v>151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12">
        <f>IF($B223=0, 0, MIN(AB224, $C223))</f>
        <v>217995.1505</v>
      </c>
      <c r="AC227" s="12">
        <f t="shared" ref="AC227:AM227" si="122">IF($B223=0, 0, IF(AB229="Y", 0, IF(AC225="N", MIN(AC224, $C223-AB228), MIN(AC224*0.5+AC226, $C223-AB228))))</f>
        <v>103947.5553</v>
      </c>
      <c r="AD227" s="12">
        <f t="shared" si="122"/>
        <v>66631.45688</v>
      </c>
      <c r="AE227" s="12">
        <f t="shared" si="122"/>
        <v>31425.83729</v>
      </c>
      <c r="AF227" s="12">
        <f t="shared" si="122"/>
        <v>0</v>
      </c>
      <c r="AG227" s="12">
        <f t="shared" si="122"/>
        <v>0</v>
      </c>
      <c r="AH227" s="12">
        <f t="shared" si="122"/>
        <v>0</v>
      </c>
      <c r="AI227" s="12">
        <f t="shared" si="122"/>
        <v>0</v>
      </c>
      <c r="AJ227" s="12">
        <f t="shared" si="122"/>
        <v>0</v>
      </c>
      <c r="AK227" s="12">
        <f t="shared" si="122"/>
        <v>0</v>
      </c>
      <c r="AL227" s="12">
        <f t="shared" si="122"/>
        <v>0</v>
      </c>
      <c r="AM227" s="12">
        <f t="shared" si="122"/>
        <v>0</v>
      </c>
    </row>
    <row r="228" ht="15.75" customHeight="1">
      <c r="A228" s="3" t="s">
        <v>152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12">
        <f>AB227</f>
        <v>217995.1505</v>
      </c>
      <c r="AC228" s="12">
        <f t="shared" ref="AC228:AM228" si="123">AB228+AC227</f>
        <v>321942.7058</v>
      </c>
      <c r="AD228" s="12">
        <f t="shared" si="123"/>
        <v>388574.1627</v>
      </c>
      <c r="AE228" s="12">
        <f t="shared" si="123"/>
        <v>420000</v>
      </c>
      <c r="AF228" s="12">
        <f t="shared" si="123"/>
        <v>420000</v>
      </c>
      <c r="AG228" s="12">
        <f t="shared" si="123"/>
        <v>420000</v>
      </c>
      <c r="AH228" s="12">
        <f t="shared" si="123"/>
        <v>420000</v>
      </c>
      <c r="AI228" s="12">
        <f t="shared" si="123"/>
        <v>420000</v>
      </c>
      <c r="AJ228" s="12">
        <f t="shared" si="123"/>
        <v>420000</v>
      </c>
      <c r="AK228" s="12">
        <f t="shared" si="123"/>
        <v>420000</v>
      </c>
      <c r="AL228" s="12">
        <f t="shared" si="123"/>
        <v>420000</v>
      </c>
      <c r="AM228" s="12">
        <f t="shared" si="123"/>
        <v>420000</v>
      </c>
    </row>
    <row r="229" ht="15.75" customHeight="1">
      <c r="A229" s="3" t="s">
        <v>153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 t="str">
        <f t="shared" ref="AB229:AM229" si="124">IF(AB228&gt;=$C223, "Y", "N")</f>
        <v>N</v>
      </c>
      <c r="AC229" s="3" t="str">
        <f t="shared" si="124"/>
        <v>N</v>
      </c>
      <c r="AD229" s="3" t="str">
        <f t="shared" si="124"/>
        <v>N</v>
      </c>
      <c r="AE229" s="3" t="str">
        <f t="shared" si="124"/>
        <v>Y</v>
      </c>
      <c r="AF229" s="3" t="str">
        <f t="shared" si="124"/>
        <v>Y</v>
      </c>
      <c r="AG229" s="3" t="str">
        <f t="shared" si="124"/>
        <v>Y</v>
      </c>
      <c r="AH229" s="3" t="str">
        <f t="shared" si="124"/>
        <v>Y</v>
      </c>
      <c r="AI229" s="3" t="str">
        <f t="shared" si="124"/>
        <v>Y</v>
      </c>
      <c r="AJ229" s="3" t="str">
        <f t="shared" si="124"/>
        <v>Y</v>
      </c>
      <c r="AK229" s="3" t="str">
        <f t="shared" si="124"/>
        <v>Y</v>
      </c>
      <c r="AL229" s="3" t="str">
        <f t="shared" si="124"/>
        <v>Y</v>
      </c>
      <c r="AM229" s="3" t="str">
        <f t="shared" si="124"/>
        <v>Y</v>
      </c>
    </row>
    <row r="230" ht="15.75" customHeight="1">
      <c r="A230" s="3" t="s">
        <v>154</v>
      </c>
      <c r="D230" s="3">
        <v>0.0</v>
      </c>
      <c r="E230" s="3">
        <v>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12">
        <f t="shared" ref="AB230:AM230" si="125">AB224-AB227</f>
        <v>0</v>
      </c>
      <c r="AC230" s="12">
        <f t="shared" si="125"/>
        <v>0</v>
      </c>
      <c r="AD230" s="12">
        <f t="shared" si="125"/>
        <v>0</v>
      </c>
      <c r="AE230" s="12">
        <f t="shared" si="125"/>
        <v>15453.38792</v>
      </c>
      <c r="AF230" s="12">
        <f t="shared" si="125"/>
        <v>27871.09714</v>
      </c>
      <c r="AG230" s="12">
        <f t="shared" si="125"/>
        <v>24984.36651</v>
      </c>
      <c r="AH230" s="12">
        <f t="shared" si="125"/>
        <v>21577.61086</v>
      </c>
      <c r="AI230" s="12">
        <f t="shared" si="125"/>
        <v>19065.02414</v>
      </c>
      <c r="AJ230" s="12">
        <f t="shared" si="125"/>
        <v>17043.36685</v>
      </c>
      <c r="AK230" s="12">
        <f t="shared" si="125"/>
        <v>19805.14658</v>
      </c>
      <c r="AL230" s="12">
        <f t="shared" si="125"/>
        <v>13800</v>
      </c>
      <c r="AM230" s="12">
        <f t="shared" si="125"/>
        <v>13800</v>
      </c>
    </row>
    <row r="231" ht="15.75" customHeight="1"/>
    <row r="232" ht="15.75" customHeight="1">
      <c r="A232" s="2" t="str">
        <f>Acquisition_Plan!A29</f>
        <v>2028-02-21</v>
      </c>
      <c r="B232" s="12">
        <f>Acquisition_Plan!E29</f>
        <v>400000</v>
      </c>
      <c r="C232" s="12">
        <f>B232*(1+Inputs!$B$12)</f>
        <v>420000</v>
      </c>
    </row>
    <row r="233" ht="15.75" customHeight="1">
      <c r="A233" s="3" t="s">
        <v>147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12">
        <f>$B232*Inputs!$B$15*Curves!C5*(1-Inputs!$B$16)</f>
        <v>217995.1505</v>
      </c>
      <c r="AD233" s="12">
        <f>$B232*Inputs!$B$15*Curves!C6*(1-Inputs!$B$16)</f>
        <v>103947.5553</v>
      </c>
      <c r="AE233" s="12">
        <f>$B232*Inputs!$B$15*Curves!C7*(1-Inputs!$B$16)</f>
        <v>66631.45688</v>
      </c>
      <c r="AF233" s="12">
        <f>$B232*Inputs!$B$15*Curves!C8*(1-Inputs!$B$16)</f>
        <v>46879.22521</v>
      </c>
      <c r="AG233" s="12">
        <f>$B232*Inputs!$B$15*Curves!C9*(1-Inputs!$B$16)</f>
        <v>27871.09714</v>
      </c>
      <c r="AH233" s="12">
        <f>$B232*Inputs!$B$15*Curves!C10*(1-Inputs!$B$16)</f>
        <v>24984.36651</v>
      </c>
      <c r="AI233" s="12">
        <f>$B232*Inputs!$B$15*Curves!C11*(1-Inputs!$B$16)</f>
        <v>21577.61086</v>
      </c>
      <c r="AJ233" s="12">
        <f>$B232*Inputs!$B$15*Curves!C12*(1-Inputs!$B$16)</f>
        <v>19065.02414</v>
      </c>
      <c r="AK233" s="12">
        <f>$B232*Inputs!$B$15*Curves!C13*(1-Inputs!$B$16)</f>
        <v>17043.36685</v>
      </c>
      <c r="AL233" s="12">
        <f>$B232*Inputs!$B$15*Curves!C14*(1-Inputs!$B$16)</f>
        <v>19805.14658</v>
      </c>
      <c r="AM233" s="12">
        <f>$B232*Inputs!$B$15*Curves!C15*(1-Inputs!$B$16)</f>
        <v>13800</v>
      </c>
    </row>
    <row r="234" ht="15.75" customHeight="1">
      <c r="A234" s="3" t="s">
        <v>148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 t="s">
        <v>149</v>
      </c>
      <c r="AD234" s="3" t="str">
        <f t="shared" ref="AD234:AM234" si="126">IF($B232=0, "N", IF(AC237&gt;=$B232, "Y", "N"))</f>
        <v>N</v>
      </c>
      <c r="AE234" s="3" t="str">
        <f t="shared" si="126"/>
        <v>N</v>
      </c>
      <c r="AF234" s="3" t="str">
        <f t="shared" si="126"/>
        <v>N</v>
      </c>
      <c r="AG234" s="3" t="str">
        <f t="shared" si="126"/>
        <v>Y</v>
      </c>
      <c r="AH234" s="3" t="str">
        <f t="shared" si="126"/>
        <v>Y</v>
      </c>
      <c r="AI234" s="3" t="str">
        <f t="shared" si="126"/>
        <v>Y</v>
      </c>
      <c r="AJ234" s="3" t="str">
        <f t="shared" si="126"/>
        <v>Y</v>
      </c>
      <c r="AK234" s="3" t="str">
        <f t="shared" si="126"/>
        <v>Y</v>
      </c>
      <c r="AL234" s="3" t="str">
        <f t="shared" si="126"/>
        <v>Y</v>
      </c>
      <c r="AM234" s="3" t="str">
        <f t="shared" si="126"/>
        <v>Y</v>
      </c>
    </row>
    <row r="235" ht="15.75" customHeight="1">
      <c r="A235" s="3" t="s">
        <v>150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12">
        <v>0.0</v>
      </c>
      <c r="AD235" s="12">
        <f>IF(AND(AD234="Y", AC238="N"), $B232*Inputs!$B$12/12, 0)</f>
        <v>0</v>
      </c>
      <c r="AE235" s="12">
        <f>IF(AND(AE234="Y", AD238="N"), $B232*Inputs!$B$12/12, 0)</f>
        <v>0</v>
      </c>
      <c r="AF235" s="12">
        <f>IF(AND(AF234="Y", AE238="N"), $B232*Inputs!$B$12/12, 0)</f>
        <v>0</v>
      </c>
      <c r="AG235" s="12">
        <f>IF(AND(AG234="Y", AF238="N"), $B232*Inputs!$B$12/12, 0)</f>
        <v>0</v>
      </c>
      <c r="AH235" s="12">
        <f>IF(AND(AH234="Y", AG238="N"), $B232*Inputs!$B$12/12, 0)</f>
        <v>0</v>
      </c>
      <c r="AI235" s="12">
        <f>IF(AND(AI234="Y", AH238="N"), $B232*Inputs!$B$12/12, 0)</f>
        <v>0</v>
      </c>
      <c r="AJ235" s="12">
        <f>IF(AND(AJ234="Y", AI238="N"), $B232*Inputs!$B$12/12, 0)</f>
        <v>0</v>
      </c>
      <c r="AK235" s="12">
        <f>IF(AND(AK234="Y", AJ238="N"), $B232*Inputs!$B$12/12, 0)</f>
        <v>0</v>
      </c>
      <c r="AL235" s="12">
        <f>IF(AND(AL234="Y", AK238="N"), $B232*Inputs!$B$12/12, 0)</f>
        <v>0</v>
      </c>
      <c r="AM235" s="12">
        <f>IF(AND(AM234="Y", AL238="N"), $B232*Inputs!$B$12/12, 0)</f>
        <v>0</v>
      </c>
    </row>
    <row r="236" ht="15.75" customHeight="1">
      <c r="A236" s="3" t="s">
        <v>151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12">
        <f>IF($B232=0, 0, MIN(AC233, $C232))</f>
        <v>217995.1505</v>
      </c>
      <c r="AD236" s="12">
        <f t="shared" ref="AD236:AM236" si="127">IF($B232=0, 0, IF(AC238="Y", 0, IF(AD234="N", MIN(AD233, $C232-AC237), MIN(AD233*0.5+AD235, $C232-AC237))))</f>
        <v>103947.5553</v>
      </c>
      <c r="AE236" s="12">
        <f t="shared" si="127"/>
        <v>66631.45688</v>
      </c>
      <c r="AF236" s="12">
        <f t="shared" si="127"/>
        <v>31425.83729</v>
      </c>
      <c r="AG236" s="12">
        <f t="shared" si="127"/>
        <v>0</v>
      </c>
      <c r="AH236" s="12">
        <f t="shared" si="127"/>
        <v>0</v>
      </c>
      <c r="AI236" s="12">
        <f t="shared" si="127"/>
        <v>0</v>
      </c>
      <c r="AJ236" s="12">
        <f t="shared" si="127"/>
        <v>0</v>
      </c>
      <c r="AK236" s="12">
        <f t="shared" si="127"/>
        <v>0</v>
      </c>
      <c r="AL236" s="12">
        <f t="shared" si="127"/>
        <v>0</v>
      </c>
      <c r="AM236" s="12">
        <f t="shared" si="127"/>
        <v>0</v>
      </c>
    </row>
    <row r="237" ht="15.75" customHeight="1">
      <c r="A237" s="3" t="s">
        <v>152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12">
        <f>AC236</f>
        <v>217995.1505</v>
      </c>
      <c r="AD237" s="12">
        <f t="shared" ref="AD237:AM237" si="128">AC237+AD236</f>
        <v>321942.7058</v>
      </c>
      <c r="AE237" s="12">
        <f t="shared" si="128"/>
        <v>388574.1627</v>
      </c>
      <c r="AF237" s="12">
        <f t="shared" si="128"/>
        <v>420000</v>
      </c>
      <c r="AG237" s="12">
        <f t="shared" si="128"/>
        <v>420000</v>
      </c>
      <c r="AH237" s="12">
        <f t="shared" si="128"/>
        <v>420000</v>
      </c>
      <c r="AI237" s="12">
        <f t="shared" si="128"/>
        <v>420000</v>
      </c>
      <c r="AJ237" s="12">
        <f t="shared" si="128"/>
        <v>420000</v>
      </c>
      <c r="AK237" s="12">
        <f t="shared" si="128"/>
        <v>420000</v>
      </c>
      <c r="AL237" s="12">
        <f t="shared" si="128"/>
        <v>420000</v>
      </c>
      <c r="AM237" s="12">
        <f t="shared" si="128"/>
        <v>420000</v>
      </c>
    </row>
    <row r="238" ht="15.75" customHeight="1">
      <c r="A238" s="3" t="s">
        <v>153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 t="str">
        <f t="shared" ref="AC238:AM238" si="129">IF(AC237&gt;=$C232, "Y", "N")</f>
        <v>N</v>
      </c>
      <c r="AD238" s="3" t="str">
        <f t="shared" si="129"/>
        <v>N</v>
      </c>
      <c r="AE238" s="3" t="str">
        <f t="shared" si="129"/>
        <v>N</v>
      </c>
      <c r="AF238" s="3" t="str">
        <f t="shared" si="129"/>
        <v>Y</v>
      </c>
      <c r="AG238" s="3" t="str">
        <f t="shared" si="129"/>
        <v>Y</v>
      </c>
      <c r="AH238" s="3" t="str">
        <f t="shared" si="129"/>
        <v>Y</v>
      </c>
      <c r="AI238" s="3" t="str">
        <f t="shared" si="129"/>
        <v>Y</v>
      </c>
      <c r="AJ238" s="3" t="str">
        <f t="shared" si="129"/>
        <v>Y</v>
      </c>
      <c r="AK238" s="3" t="str">
        <f t="shared" si="129"/>
        <v>Y</v>
      </c>
      <c r="AL238" s="3" t="str">
        <f t="shared" si="129"/>
        <v>Y</v>
      </c>
      <c r="AM238" s="3" t="str">
        <f t="shared" si="129"/>
        <v>Y</v>
      </c>
    </row>
    <row r="239" ht="15.75" customHeight="1">
      <c r="A239" s="3" t="s">
        <v>154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12">
        <f t="shared" ref="AC239:AM239" si="130">AC233-AC236</f>
        <v>0</v>
      </c>
      <c r="AD239" s="12">
        <f t="shared" si="130"/>
        <v>0</v>
      </c>
      <c r="AE239" s="12">
        <f t="shared" si="130"/>
        <v>0</v>
      </c>
      <c r="AF239" s="12">
        <f t="shared" si="130"/>
        <v>15453.38792</v>
      </c>
      <c r="AG239" s="12">
        <f t="shared" si="130"/>
        <v>27871.09714</v>
      </c>
      <c r="AH239" s="12">
        <f t="shared" si="130"/>
        <v>24984.36651</v>
      </c>
      <c r="AI239" s="12">
        <f t="shared" si="130"/>
        <v>21577.61086</v>
      </c>
      <c r="AJ239" s="12">
        <f t="shared" si="130"/>
        <v>19065.02414</v>
      </c>
      <c r="AK239" s="12">
        <f t="shared" si="130"/>
        <v>17043.36685</v>
      </c>
      <c r="AL239" s="12">
        <f t="shared" si="130"/>
        <v>19805.14658</v>
      </c>
      <c r="AM239" s="12">
        <f t="shared" si="130"/>
        <v>13800</v>
      </c>
    </row>
    <row r="240" ht="15.75" customHeight="1"/>
    <row r="241" ht="15.75" customHeight="1">
      <c r="A241" s="2" t="str">
        <f>Acquisition_Plan!A30</f>
        <v>2028-03-22</v>
      </c>
      <c r="B241" s="12">
        <f>Acquisition_Plan!E30</f>
        <v>400000</v>
      </c>
      <c r="C241" s="12">
        <f>B241*(1+Inputs!$B$12)</f>
        <v>420000</v>
      </c>
    </row>
    <row r="242" ht="15.75" customHeight="1">
      <c r="A242" s="3" t="s">
        <v>147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12">
        <f>$B241*Inputs!$B$15*Curves!C5*(1-Inputs!$B$16)</f>
        <v>217995.1505</v>
      </c>
      <c r="AE242" s="12">
        <f>$B241*Inputs!$B$15*Curves!C6*(1-Inputs!$B$16)</f>
        <v>103947.5553</v>
      </c>
      <c r="AF242" s="12">
        <f>$B241*Inputs!$B$15*Curves!C7*(1-Inputs!$B$16)</f>
        <v>66631.45688</v>
      </c>
      <c r="AG242" s="12">
        <f>$B241*Inputs!$B$15*Curves!C8*(1-Inputs!$B$16)</f>
        <v>46879.22521</v>
      </c>
      <c r="AH242" s="12">
        <f>$B241*Inputs!$B$15*Curves!C9*(1-Inputs!$B$16)</f>
        <v>27871.09714</v>
      </c>
      <c r="AI242" s="12">
        <f>$B241*Inputs!$B$15*Curves!C10*(1-Inputs!$B$16)</f>
        <v>24984.36651</v>
      </c>
      <c r="AJ242" s="12">
        <f>$B241*Inputs!$B$15*Curves!C11*(1-Inputs!$B$16)</f>
        <v>21577.61086</v>
      </c>
      <c r="AK242" s="12">
        <f>$B241*Inputs!$B$15*Curves!C12*(1-Inputs!$B$16)</f>
        <v>19065.02414</v>
      </c>
      <c r="AL242" s="12">
        <f>$B241*Inputs!$B$15*Curves!C13*(1-Inputs!$B$16)</f>
        <v>17043.36685</v>
      </c>
      <c r="AM242" s="12">
        <f>$B241*Inputs!$B$15*Curves!C14*(1-Inputs!$B$16)</f>
        <v>19805.14658</v>
      </c>
    </row>
    <row r="243" ht="15.75" customHeight="1">
      <c r="A243" s="3" t="s">
        <v>148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 t="s">
        <v>149</v>
      </c>
      <c r="AE243" s="3" t="str">
        <f t="shared" ref="AE243:AM243" si="131">IF($B241=0, "N", IF(AD246&gt;=$B241, "Y", "N"))</f>
        <v>N</v>
      </c>
      <c r="AF243" s="3" t="str">
        <f t="shared" si="131"/>
        <v>N</v>
      </c>
      <c r="AG243" s="3" t="str">
        <f t="shared" si="131"/>
        <v>N</v>
      </c>
      <c r="AH243" s="3" t="str">
        <f t="shared" si="131"/>
        <v>Y</v>
      </c>
      <c r="AI243" s="3" t="str">
        <f t="shared" si="131"/>
        <v>Y</v>
      </c>
      <c r="AJ243" s="3" t="str">
        <f t="shared" si="131"/>
        <v>Y</v>
      </c>
      <c r="AK243" s="3" t="str">
        <f t="shared" si="131"/>
        <v>Y</v>
      </c>
      <c r="AL243" s="3" t="str">
        <f t="shared" si="131"/>
        <v>Y</v>
      </c>
      <c r="AM243" s="3" t="str">
        <f t="shared" si="131"/>
        <v>Y</v>
      </c>
    </row>
    <row r="244" ht="15.75" customHeight="1">
      <c r="A244" s="3" t="s">
        <v>150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12">
        <v>0.0</v>
      </c>
      <c r="AE244" s="12">
        <f>IF(AND(AE243="Y", AD247="N"), $B241*Inputs!$B$12/12, 0)</f>
        <v>0</v>
      </c>
      <c r="AF244" s="12">
        <f>IF(AND(AF243="Y", AE247="N"), $B241*Inputs!$B$12/12, 0)</f>
        <v>0</v>
      </c>
      <c r="AG244" s="12">
        <f>IF(AND(AG243="Y", AF247="N"), $B241*Inputs!$B$12/12, 0)</f>
        <v>0</v>
      </c>
      <c r="AH244" s="12">
        <f>IF(AND(AH243="Y", AG247="N"), $B241*Inputs!$B$12/12, 0)</f>
        <v>0</v>
      </c>
      <c r="AI244" s="12">
        <f>IF(AND(AI243="Y", AH247="N"), $B241*Inputs!$B$12/12, 0)</f>
        <v>0</v>
      </c>
      <c r="AJ244" s="12">
        <f>IF(AND(AJ243="Y", AI247="N"), $B241*Inputs!$B$12/12, 0)</f>
        <v>0</v>
      </c>
      <c r="AK244" s="12">
        <f>IF(AND(AK243="Y", AJ247="N"), $B241*Inputs!$B$12/12, 0)</f>
        <v>0</v>
      </c>
      <c r="AL244" s="12">
        <f>IF(AND(AL243="Y", AK247="N"), $B241*Inputs!$B$12/12, 0)</f>
        <v>0</v>
      </c>
      <c r="AM244" s="12">
        <f>IF(AND(AM243="Y", AL247="N"), $B241*Inputs!$B$12/12, 0)</f>
        <v>0</v>
      </c>
    </row>
    <row r="245" ht="15.75" customHeight="1">
      <c r="A245" s="3" t="s">
        <v>151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12">
        <f>IF($B241=0, 0, MIN(AD242, $C241))</f>
        <v>217995.1505</v>
      </c>
      <c r="AE245" s="12">
        <f t="shared" ref="AE245:AM245" si="132">IF($B241=0, 0, IF(AD247="Y", 0, IF(AE243="N", MIN(AE242, $C241-AD246), MIN(AE242*0.5+AE244, $C241-AD246))))</f>
        <v>103947.5553</v>
      </c>
      <c r="AF245" s="12">
        <f t="shared" si="132"/>
        <v>66631.45688</v>
      </c>
      <c r="AG245" s="12">
        <f t="shared" si="132"/>
        <v>31425.83729</v>
      </c>
      <c r="AH245" s="12">
        <f t="shared" si="132"/>
        <v>0</v>
      </c>
      <c r="AI245" s="12">
        <f t="shared" si="132"/>
        <v>0</v>
      </c>
      <c r="AJ245" s="12">
        <f t="shared" si="132"/>
        <v>0</v>
      </c>
      <c r="AK245" s="12">
        <f t="shared" si="132"/>
        <v>0</v>
      </c>
      <c r="AL245" s="12">
        <f t="shared" si="132"/>
        <v>0</v>
      </c>
      <c r="AM245" s="12">
        <f t="shared" si="132"/>
        <v>0</v>
      </c>
    </row>
    <row r="246" ht="15.75" customHeight="1">
      <c r="A246" s="3" t="s">
        <v>152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12">
        <f>AD245</f>
        <v>217995.1505</v>
      </c>
      <c r="AE246" s="12">
        <f t="shared" ref="AE246:AM246" si="133">AD246+AE245</f>
        <v>321942.7058</v>
      </c>
      <c r="AF246" s="12">
        <f t="shared" si="133"/>
        <v>388574.1627</v>
      </c>
      <c r="AG246" s="12">
        <f t="shared" si="133"/>
        <v>420000</v>
      </c>
      <c r="AH246" s="12">
        <f t="shared" si="133"/>
        <v>420000</v>
      </c>
      <c r="AI246" s="12">
        <f t="shared" si="133"/>
        <v>420000</v>
      </c>
      <c r="AJ246" s="12">
        <f t="shared" si="133"/>
        <v>420000</v>
      </c>
      <c r="AK246" s="12">
        <f t="shared" si="133"/>
        <v>420000</v>
      </c>
      <c r="AL246" s="12">
        <f t="shared" si="133"/>
        <v>420000</v>
      </c>
      <c r="AM246" s="12">
        <f t="shared" si="133"/>
        <v>420000</v>
      </c>
    </row>
    <row r="247" ht="15.75" customHeight="1">
      <c r="A247" s="3" t="s">
        <v>153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 t="str">
        <f t="shared" ref="AD247:AM247" si="134">IF(AD246&gt;=$C241, "Y", "N")</f>
        <v>N</v>
      </c>
      <c r="AE247" s="3" t="str">
        <f t="shared" si="134"/>
        <v>N</v>
      </c>
      <c r="AF247" s="3" t="str">
        <f t="shared" si="134"/>
        <v>N</v>
      </c>
      <c r="AG247" s="3" t="str">
        <f t="shared" si="134"/>
        <v>Y</v>
      </c>
      <c r="AH247" s="3" t="str">
        <f t="shared" si="134"/>
        <v>Y</v>
      </c>
      <c r="AI247" s="3" t="str">
        <f t="shared" si="134"/>
        <v>Y</v>
      </c>
      <c r="AJ247" s="3" t="str">
        <f t="shared" si="134"/>
        <v>Y</v>
      </c>
      <c r="AK247" s="3" t="str">
        <f t="shared" si="134"/>
        <v>Y</v>
      </c>
      <c r="AL247" s="3" t="str">
        <f t="shared" si="134"/>
        <v>Y</v>
      </c>
      <c r="AM247" s="3" t="str">
        <f t="shared" si="134"/>
        <v>Y</v>
      </c>
    </row>
    <row r="248" ht="15.75" customHeight="1">
      <c r="A248" s="3" t="s">
        <v>154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12">
        <f t="shared" ref="AD248:AM248" si="135">AD242-AD245</f>
        <v>0</v>
      </c>
      <c r="AE248" s="12">
        <f t="shared" si="135"/>
        <v>0</v>
      </c>
      <c r="AF248" s="12">
        <f t="shared" si="135"/>
        <v>0</v>
      </c>
      <c r="AG248" s="12">
        <f t="shared" si="135"/>
        <v>15453.38792</v>
      </c>
      <c r="AH248" s="12">
        <f t="shared" si="135"/>
        <v>27871.09714</v>
      </c>
      <c r="AI248" s="12">
        <f t="shared" si="135"/>
        <v>24984.36651</v>
      </c>
      <c r="AJ248" s="12">
        <f t="shared" si="135"/>
        <v>21577.61086</v>
      </c>
      <c r="AK248" s="12">
        <f t="shared" si="135"/>
        <v>19065.02414</v>
      </c>
      <c r="AL248" s="12">
        <f t="shared" si="135"/>
        <v>17043.36685</v>
      </c>
      <c r="AM248" s="12">
        <f t="shared" si="135"/>
        <v>19805.14658</v>
      </c>
    </row>
    <row r="249" ht="15.75" customHeight="1"/>
    <row r="250" ht="15.75" customHeight="1">
      <c r="A250" s="2" t="str">
        <f>Acquisition_Plan!A31</f>
        <v>2028-04-21</v>
      </c>
      <c r="B250" s="12">
        <f>Acquisition_Plan!E31</f>
        <v>400000</v>
      </c>
      <c r="C250" s="12">
        <f>B250*(1+Inputs!$B$12)</f>
        <v>420000</v>
      </c>
    </row>
    <row r="251" ht="15.75" customHeight="1">
      <c r="A251" s="3" t="s">
        <v>147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12">
        <f>$B250*Inputs!$B$15*Curves!C5*(1-Inputs!$B$16)</f>
        <v>217995.1505</v>
      </c>
      <c r="AF251" s="12">
        <f>$B250*Inputs!$B$15*Curves!C6*(1-Inputs!$B$16)</f>
        <v>103947.5553</v>
      </c>
      <c r="AG251" s="12">
        <f>$B250*Inputs!$B$15*Curves!C7*(1-Inputs!$B$16)</f>
        <v>66631.45688</v>
      </c>
      <c r="AH251" s="12">
        <f>$B250*Inputs!$B$15*Curves!C8*(1-Inputs!$B$16)</f>
        <v>46879.22521</v>
      </c>
      <c r="AI251" s="12">
        <f>$B250*Inputs!$B$15*Curves!C9*(1-Inputs!$B$16)</f>
        <v>27871.09714</v>
      </c>
      <c r="AJ251" s="12">
        <f>$B250*Inputs!$B$15*Curves!C10*(1-Inputs!$B$16)</f>
        <v>24984.36651</v>
      </c>
      <c r="AK251" s="12">
        <f>$B250*Inputs!$B$15*Curves!C11*(1-Inputs!$B$16)</f>
        <v>21577.61086</v>
      </c>
      <c r="AL251" s="12">
        <f>$B250*Inputs!$B$15*Curves!C12*(1-Inputs!$B$16)</f>
        <v>19065.02414</v>
      </c>
      <c r="AM251" s="12">
        <f>$B250*Inputs!$B$15*Curves!C13*(1-Inputs!$B$16)</f>
        <v>17043.36685</v>
      </c>
    </row>
    <row r="252" ht="15.75" customHeight="1">
      <c r="A252" s="3" t="s">
        <v>148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 t="s">
        <v>149</v>
      </c>
      <c r="AF252" s="3" t="str">
        <f t="shared" ref="AF252:AM252" si="136">IF($B250=0, "N", IF(AE255&gt;=$B250, "Y", "N"))</f>
        <v>N</v>
      </c>
      <c r="AG252" s="3" t="str">
        <f t="shared" si="136"/>
        <v>N</v>
      </c>
      <c r="AH252" s="3" t="str">
        <f t="shared" si="136"/>
        <v>N</v>
      </c>
      <c r="AI252" s="3" t="str">
        <f t="shared" si="136"/>
        <v>Y</v>
      </c>
      <c r="AJ252" s="3" t="str">
        <f t="shared" si="136"/>
        <v>Y</v>
      </c>
      <c r="AK252" s="3" t="str">
        <f t="shared" si="136"/>
        <v>Y</v>
      </c>
      <c r="AL252" s="3" t="str">
        <f t="shared" si="136"/>
        <v>Y</v>
      </c>
      <c r="AM252" s="3" t="str">
        <f t="shared" si="136"/>
        <v>Y</v>
      </c>
    </row>
    <row r="253" ht="15.75" customHeight="1">
      <c r="A253" s="3" t="s">
        <v>150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12">
        <v>0.0</v>
      </c>
      <c r="AF253" s="12">
        <f>IF(AND(AF252="Y", AE256="N"), $B250*Inputs!$B$12/12, 0)</f>
        <v>0</v>
      </c>
      <c r="AG253" s="12">
        <f>IF(AND(AG252="Y", AF256="N"), $B250*Inputs!$B$12/12, 0)</f>
        <v>0</v>
      </c>
      <c r="AH253" s="12">
        <f>IF(AND(AH252="Y", AG256="N"), $B250*Inputs!$B$12/12, 0)</f>
        <v>0</v>
      </c>
      <c r="AI253" s="12">
        <f>IF(AND(AI252="Y", AH256="N"), $B250*Inputs!$B$12/12, 0)</f>
        <v>0</v>
      </c>
      <c r="AJ253" s="12">
        <f>IF(AND(AJ252="Y", AI256="N"), $B250*Inputs!$B$12/12, 0)</f>
        <v>0</v>
      </c>
      <c r="AK253" s="12">
        <f>IF(AND(AK252="Y", AJ256="N"), $B250*Inputs!$B$12/12, 0)</f>
        <v>0</v>
      </c>
      <c r="AL253" s="12">
        <f>IF(AND(AL252="Y", AK256="N"), $B250*Inputs!$B$12/12, 0)</f>
        <v>0</v>
      </c>
      <c r="AM253" s="12">
        <f>IF(AND(AM252="Y", AL256="N"), $B250*Inputs!$B$12/12, 0)</f>
        <v>0</v>
      </c>
    </row>
    <row r="254" ht="15.75" customHeight="1">
      <c r="A254" s="3" t="s">
        <v>151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12">
        <f>IF($B250=0, 0, MIN(AE251, $C250))</f>
        <v>217995.1505</v>
      </c>
      <c r="AF254" s="12">
        <f t="shared" ref="AF254:AM254" si="137">IF($B250=0, 0, IF(AE256="Y", 0, IF(AF252="N", MIN(AF251, $C250-AE255), MIN(AF251*0.5+AF253, $C250-AE255))))</f>
        <v>103947.5553</v>
      </c>
      <c r="AG254" s="12">
        <f t="shared" si="137"/>
        <v>66631.45688</v>
      </c>
      <c r="AH254" s="12">
        <f t="shared" si="137"/>
        <v>31425.83729</v>
      </c>
      <c r="AI254" s="12">
        <f t="shared" si="137"/>
        <v>0</v>
      </c>
      <c r="AJ254" s="12">
        <f t="shared" si="137"/>
        <v>0</v>
      </c>
      <c r="AK254" s="12">
        <f t="shared" si="137"/>
        <v>0</v>
      </c>
      <c r="AL254" s="12">
        <f t="shared" si="137"/>
        <v>0</v>
      </c>
      <c r="AM254" s="12">
        <f t="shared" si="137"/>
        <v>0</v>
      </c>
    </row>
    <row r="255" ht="15.75" customHeight="1">
      <c r="A255" s="3" t="s">
        <v>152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12">
        <f>AE254</f>
        <v>217995.1505</v>
      </c>
      <c r="AF255" s="12">
        <f t="shared" ref="AF255:AM255" si="138">AE255+AF254</f>
        <v>321942.7058</v>
      </c>
      <c r="AG255" s="12">
        <f t="shared" si="138"/>
        <v>388574.1627</v>
      </c>
      <c r="AH255" s="12">
        <f t="shared" si="138"/>
        <v>420000</v>
      </c>
      <c r="AI255" s="12">
        <f t="shared" si="138"/>
        <v>420000</v>
      </c>
      <c r="AJ255" s="12">
        <f t="shared" si="138"/>
        <v>420000</v>
      </c>
      <c r="AK255" s="12">
        <f t="shared" si="138"/>
        <v>420000</v>
      </c>
      <c r="AL255" s="12">
        <f t="shared" si="138"/>
        <v>420000</v>
      </c>
      <c r="AM255" s="12">
        <f t="shared" si="138"/>
        <v>420000</v>
      </c>
    </row>
    <row r="256" ht="15.75" customHeight="1">
      <c r="A256" s="3" t="s">
        <v>153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 t="str">
        <f t="shared" ref="AE256:AM256" si="139">IF(AE255&gt;=$C250, "Y", "N")</f>
        <v>N</v>
      </c>
      <c r="AF256" s="3" t="str">
        <f t="shared" si="139"/>
        <v>N</v>
      </c>
      <c r="AG256" s="3" t="str">
        <f t="shared" si="139"/>
        <v>N</v>
      </c>
      <c r="AH256" s="3" t="str">
        <f t="shared" si="139"/>
        <v>Y</v>
      </c>
      <c r="AI256" s="3" t="str">
        <f t="shared" si="139"/>
        <v>Y</v>
      </c>
      <c r="AJ256" s="3" t="str">
        <f t="shared" si="139"/>
        <v>Y</v>
      </c>
      <c r="AK256" s="3" t="str">
        <f t="shared" si="139"/>
        <v>Y</v>
      </c>
      <c r="AL256" s="3" t="str">
        <f t="shared" si="139"/>
        <v>Y</v>
      </c>
      <c r="AM256" s="3" t="str">
        <f t="shared" si="139"/>
        <v>Y</v>
      </c>
    </row>
    <row r="257" ht="15.75" customHeight="1">
      <c r="A257" s="3" t="s">
        <v>154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12">
        <f t="shared" ref="AE257:AM257" si="140">AE251-AE254</f>
        <v>0</v>
      </c>
      <c r="AF257" s="12">
        <f t="shared" si="140"/>
        <v>0</v>
      </c>
      <c r="AG257" s="12">
        <f t="shared" si="140"/>
        <v>0</v>
      </c>
      <c r="AH257" s="12">
        <f t="shared" si="140"/>
        <v>15453.38792</v>
      </c>
      <c r="AI257" s="12">
        <f t="shared" si="140"/>
        <v>27871.09714</v>
      </c>
      <c r="AJ257" s="12">
        <f t="shared" si="140"/>
        <v>24984.36651</v>
      </c>
      <c r="AK257" s="12">
        <f t="shared" si="140"/>
        <v>21577.61086</v>
      </c>
      <c r="AL257" s="12">
        <f t="shared" si="140"/>
        <v>19065.02414</v>
      </c>
      <c r="AM257" s="12">
        <f t="shared" si="140"/>
        <v>17043.36685</v>
      </c>
    </row>
    <row r="258" ht="15.75" customHeight="1"/>
    <row r="259" ht="15.75" customHeight="1">
      <c r="A259" s="2" t="str">
        <f>Acquisition_Plan!A32</f>
        <v>2028-05-21</v>
      </c>
      <c r="B259" s="12">
        <f>Acquisition_Plan!E32</f>
        <v>400000</v>
      </c>
      <c r="C259" s="12">
        <f>B259*(1+Inputs!$B$12)</f>
        <v>420000</v>
      </c>
    </row>
    <row r="260" ht="15.75" customHeight="1">
      <c r="A260" s="3" t="s">
        <v>147</v>
      </c>
      <c r="D260" s="3">
        <v>0.0</v>
      </c>
      <c r="E260" s="3">
        <v>0.0</v>
      </c>
      <c r="F260" s="3">
        <v>0.0</v>
      </c>
      <c r="G260" s="3">
        <v>0.0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0.0</v>
      </c>
      <c r="AE260" s="3">
        <v>0.0</v>
      </c>
      <c r="AF260" s="12">
        <f>$B259*Inputs!$B$15*Curves!C5*(1-Inputs!$B$16)</f>
        <v>217995.1505</v>
      </c>
      <c r="AG260" s="12">
        <f>$B259*Inputs!$B$15*Curves!C6*(1-Inputs!$B$16)</f>
        <v>103947.5553</v>
      </c>
      <c r="AH260" s="12">
        <f>$B259*Inputs!$B$15*Curves!C7*(1-Inputs!$B$16)</f>
        <v>66631.45688</v>
      </c>
      <c r="AI260" s="12">
        <f>$B259*Inputs!$B$15*Curves!C8*(1-Inputs!$B$16)</f>
        <v>46879.22521</v>
      </c>
      <c r="AJ260" s="12">
        <f>$B259*Inputs!$B$15*Curves!C9*(1-Inputs!$B$16)</f>
        <v>27871.09714</v>
      </c>
      <c r="AK260" s="12">
        <f>$B259*Inputs!$B$15*Curves!C10*(1-Inputs!$B$16)</f>
        <v>24984.36651</v>
      </c>
      <c r="AL260" s="12">
        <f>$B259*Inputs!$B$15*Curves!C11*(1-Inputs!$B$16)</f>
        <v>21577.61086</v>
      </c>
      <c r="AM260" s="12">
        <f>$B259*Inputs!$B$15*Curves!C12*(1-Inputs!$B$16)</f>
        <v>19065.02414</v>
      </c>
    </row>
    <row r="261" ht="15.75" customHeight="1">
      <c r="A261" s="3" t="s">
        <v>148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 t="s">
        <v>149</v>
      </c>
      <c r="AG261" s="3" t="str">
        <f t="shared" ref="AG261:AM261" si="141">IF($B259=0, "N", IF(AF264&gt;=$B259, "Y", "N"))</f>
        <v>N</v>
      </c>
      <c r="AH261" s="3" t="str">
        <f t="shared" si="141"/>
        <v>N</v>
      </c>
      <c r="AI261" s="3" t="str">
        <f t="shared" si="141"/>
        <v>N</v>
      </c>
      <c r="AJ261" s="3" t="str">
        <f t="shared" si="141"/>
        <v>Y</v>
      </c>
      <c r="AK261" s="3" t="str">
        <f t="shared" si="141"/>
        <v>Y</v>
      </c>
      <c r="AL261" s="3" t="str">
        <f t="shared" si="141"/>
        <v>Y</v>
      </c>
      <c r="AM261" s="3" t="str">
        <f t="shared" si="141"/>
        <v>Y</v>
      </c>
    </row>
    <row r="262" ht="15.75" customHeight="1">
      <c r="A262" s="3" t="s">
        <v>150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12">
        <v>0.0</v>
      </c>
      <c r="AG262" s="12">
        <f>IF(AND(AG261="Y", AF265="N"), $B259*Inputs!$B$12/12, 0)</f>
        <v>0</v>
      </c>
      <c r="AH262" s="12">
        <f>IF(AND(AH261="Y", AG265="N"), $B259*Inputs!$B$12/12, 0)</f>
        <v>0</v>
      </c>
      <c r="AI262" s="12">
        <f>IF(AND(AI261="Y", AH265="N"), $B259*Inputs!$B$12/12, 0)</f>
        <v>0</v>
      </c>
      <c r="AJ262" s="12">
        <f>IF(AND(AJ261="Y", AI265="N"), $B259*Inputs!$B$12/12, 0)</f>
        <v>0</v>
      </c>
      <c r="AK262" s="12">
        <f>IF(AND(AK261="Y", AJ265="N"), $B259*Inputs!$B$12/12, 0)</f>
        <v>0</v>
      </c>
      <c r="AL262" s="12">
        <f>IF(AND(AL261="Y", AK265="N"), $B259*Inputs!$B$12/12, 0)</f>
        <v>0</v>
      </c>
      <c r="AM262" s="12">
        <f>IF(AND(AM261="Y", AL265="N"), $B259*Inputs!$B$12/12, 0)</f>
        <v>0</v>
      </c>
    </row>
    <row r="263" ht="15.75" customHeight="1">
      <c r="A263" s="3" t="s">
        <v>151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12">
        <f>IF($B259=0, 0, MIN(AF260, $C259))</f>
        <v>217995.1505</v>
      </c>
      <c r="AG263" s="12">
        <f t="shared" ref="AG263:AM263" si="142">IF($B259=0, 0, IF(AF265="Y", 0, IF(AG261="N", MIN(AG260, $C259-AF264), MIN(AG260*0.5+AG262, $C259-AF264))))</f>
        <v>103947.5553</v>
      </c>
      <c r="AH263" s="12">
        <f t="shared" si="142"/>
        <v>66631.45688</v>
      </c>
      <c r="AI263" s="12">
        <f t="shared" si="142"/>
        <v>31425.83729</v>
      </c>
      <c r="AJ263" s="12">
        <f t="shared" si="142"/>
        <v>0</v>
      </c>
      <c r="AK263" s="12">
        <f t="shared" si="142"/>
        <v>0</v>
      </c>
      <c r="AL263" s="12">
        <f t="shared" si="142"/>
        <v>0</v>
      </c>
      <c r="AM263" s="12">
        <f t="shared" si="142"/>
        <v>0</v>
      </c>
    </row>
    <row r="264" ht="15.75" customHeight="1">
      <c r="A264" s="3" t="s">
        <v>152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12">
        <f>AF263</f>
        <v>217995.1505</v>
      </c>
      <c r="AG264" s="12">
        <f t="shared" ref="AG264:AM264" si="143">AF264+AG263</f>
        <v>321942.7058</v>
      </c>
      <c r="AH264" s="12">
        <f t="shared" si="143"/>
        <v>388574.1627</v>
      </c>
      <c r="AI264" s="12">
        <f t="shared" si="143"/>
        <v>420000</v>
      </c>
      <c r="AJ264" s="12">
        <f t="shared" si="143"/>
        <v>420000</v>
      </c>
      <c r="AK264" s="12">
        <f t="shared" si="143"/>
        <v>420000</v>
      </c>
      <c r="AL264" s="12">
        <f t="shared" si="143"/>
        <v>420000</v>
      </c>
      <c r="AM264" s="12">
        <f t="shared" si="143"/>
        <v>420000</v>
      </c>
    </row>
    <row r="265" ht="15.75" customHeight="1">
      <c r="A265" s="3" t="s">
        <v>153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 t="str">
        <f t="shared" ref="AF265:AM265" si="144">IF(AF264&gt;=$C259, "Y", "N")</f>
        <v>N</v>
      </c>
      <c r="AG265" s="3" t="str">
        <f t="shared" si="144"/>
        <v>N</v>
      </c>
      <c r="AH265" s="3" t="str">
        <f t="shared" si="144"/>
        <v>N</v>
      </c>
      <c r="AI265" s="3" t="str">
        <f t="shared" si="144"/>
        <v>Y</v>
      </c>
      <c r="AJ265" s="3" t="str">
        <f t="shared" si="144"/>
        <v>Y</v>
      </c>
      <c r="AK265" s="3" t="str">
        <f t="shared" si="144"/>
        <v>Y</v>
      </c>
      <c r="AL265" s="3" t="str">
        <f t="shared" si="144"/>
        <v>Y</v>
      </c>
      <c r="AM265" s="3" t="str">
        <f t="shared" si="144"/>
        <v>Y</v>
      </c>
    </row>
    <row r="266" ht="15.75" customHeight="1">
      <c r="A266" s="3" t="s">
        <v>154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12">
        <f t="shared" ref="AF266:AM266" si="145">AF260-AF263</f>
        <v>0</v>
      </c>
      <c r="AG266" s="12">
        <f t="shared" si="145"/>
        <v>0</v>
      </c>
      <c r="AH266" s="12">
        <f t="shared" si="145"/>
        <v>0</v>
      </c>
      <c r="AI266" s="12">
        <f t="shared" si="145"/>
        <v>15453.38792</v>
      </c>
      <c r="AJ266" s="12">
        <f t="shared" si="145"/>
        <v>27871.09714</v>
      </c>
      <c r="AK266" s="12">
        <f t="shared" si="145"/>
        <v>24984.36651</v>
      </c>
      <c r="AL266" s="12">
        <f t="shared" si="145"/>
        <v>21577.61086</v>
      </c>
      <c r="AM266" s="12">
        <f t="shared" si="145"/>
        <v>19065.02414</v>
      </c>
    </row>
    <row r="267" ht="15.75" customHeight="1"/>
    <row r="268" ht="15.75" customHeight="1">
      <c r="A268" s="2" t="str">
        <f>Acquisition_Plan!A33</f>
        <v>2028-06-20</v>
      </c>
      <c r="B268" s="12">
        <f>Acquisition_Plan!E33</f>
        <v>400000</v>
      </c>
      <c r="C268" s="12">
        <f>B268*(1+Inputs!$B$12)</f>
        <v>420000</v>
      </c>
    </row>
    <row r="269" ht="15.75" customHeight="1">
      <c r="A269" s="3" t="s">
        <v>147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12">
        <f>$B268*Inputs!$B$15*Curves!C5*(1-Inputs!$B$16)</f>
        <v>217995.1505</v>
      </c>
      <c r="AH269" s="12">
        <f>$B268*Inputs!$B$15*Curves!C6*(1-Inputs!$B$16)</f>
        <v>103947.5553</v>
      </c>
      <c r="AI269" s="12">
        <f>$B268*Inputs!$B$15*Curves!C7*(1-Inputs!$B$16)</f>
        <v>66631.45688</v>
      </c>
      <c r="AJ269" s="12">
        <f>$B268*Inputs!$B$15*Curves!C8*(1-Inputs!$B$16)</f>
        <v>46879.22521</v>
      </c>
      <c r="AK269" s="12">
        <f>$B268*Inputs!$B$15*Curves!C9*(1-Inputs!$B$16)</f>
        <v>27871.09714</v>
      </c>
      <c r="AL269" s="12">
        <f>$B268*Inputs!$B$15*Curves!C10*(1-Inputs!$B$16)</f>
        <v>24984.36651</v>
      </c>
      <c r="AM269" s="12">
        <f>$B268*Inputs!$B$15*Curves!C11*(1-Inputs!$B$16)</f>
        <v>21577.61086</v>
      </c>
    </row>
    <row r="270" ht="15.75" customHeight="1">
      <c r="A270" s="3" t="s">
        <v>148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 t="s">
        <v>149</v>
      </c>
      <c r="AH270" s="3" t="str">
        <f t="shared" ref="AH270:AM270" si="146">IF($B268=0, "N", IF(AG273&gt;=$B268, "Y", "N"))</f>
        <v>N</v>
      </c>
      <c r="AI270" s="3" t="str">
        <f t="shared" si="146"/>
        <v>N</v>
      </c>
      <c r="AJ270" s="3" t="str">
        <f t="shared" si="146"/>
        <v>N</v>
      </c>
      <c r="AK270" s="3" t="str">
        <f t="shared" si="146"/>
        <v>Y</v>
      </c>
      <c r="AL270" s="3" t="str">
        <f t="shared" si="146"/>
        <v>Y</v>
      </c>
      <c r="AM270" s="3" t="str">
        <f t="shared" si="146"/>
        <v>Y</v>
      </c>
    </row>
    <row r="271" ht="15.75" customHeight="1">
      <c r="A271" s="3" t="s">
        <v>150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12">
        <v>0.0</v>
      </c>
      <c r="AH271" s="12">
        <f>IF(AND(AH270="Y", AG274="N"), $B268*Inputs!$B$12/12, 0)</f>
        <v>0</v>
      </c>
      <c r="AI271" s="12">
        <f>IF(AND(AI270="Y", AH274="N"), $B268*Inputs!$B$12/12, 0)</f>
        <v>0</v>
      </c>
      <c r="AJ271" s="12">
        <f>IF(AND(AJ270="Y", AI274="N"), $B268*Inputs!$B$12/12, 0)</f>
        <v>0</v>
      </c>
      <c r="AK271" s="12">
        <f>IF(AND(AK270="Y", AJ274="N"), $B268*Inputs!$B$12/12, 0)</f>
        <v>0</v>
      </c>
      <c r="AL271" s="12">
        <f>IF(AND(AL270="Y", AK274="N"), $B268*Inputs!$B$12/12, 0)</f>
        <v>0</v>
      </c>
      <c r="AM271" s="12">
        <f>IF(AND(AM270="Y", AL274="N"), $B268*Inputs!$B$12/12, 0)</f>
        <v>0</v>
      </c>
    </row>
    <row r="272" ht="15.75" customHeight="1">
      <c r="A272" s="3" t="s">
        <v>151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12">
        <f>IF($B268=0, 0, MIN(AG269, $C268))</f>
        <v>217995.1505</v>
      </c>
      <c r="AH272" s="12">
        <f t="shared" ref="AH272:AM272" si="147">IF($B268=0, 0, IF(AG274="Y", 0, IF(AH270="N", MIN(AH269, $C268-AG273), MIN(AH269*0.5+AH271, $C268-AG273))))</f>
        <v>103947.5553</v>
      </c>
      <c r="AI272" s="12">
        <f t="shared" si="147"/>
        <v>66631.45688</v>
      </c>
      <c r="AJ272" s="12">
        <f t="shared" si="147"/>
        <v>31425.83729</v>
      </c>
      <c r="AK272" s="12">
        <f t="shared" si="147"/>
        <v>0</v>
      </c>
      <c r="AL272" s="12">
        <f t="shared" si="147"/>
        <v>0</v>
      </c>
      <c r="AM272" s="12">
        <f t="shared" si="147"/>
        <v>0</v>
      </c>
    </row>
    <row r="273" ht="15.75" customHeight="1">
      <c r="A273" s="3" t="s">
        <v>152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12">
        <f>AG272</f>
        <v>217995.1505</v>
      </c>
      <c r="AH273" s="12">
        <f t="shared" ref="AH273:AM273" si="148">AG273+AH272</f>
        <v>321942.7058</v>
      </c>
      <c r="AI273" s="12">
        <f t="shared" si="148"/>
        <v>388574.1627</v>
      </c>
      <c r="AJ273" s="12">
        <f t="shared" si="148"/>
        <v>420000</v>
      </c>
      <c r="AK273" s="12">
        <f t="shared" si="148"/>
        <v>420000</v>
      </c>
      <c r="AL273" s="12">
        <f t="shared" si="148"/>
        <v>420000</v>
      </c>
      <c r="AM273" s="12">
        <f t="shared" si="148"/>
        <v>420000</v>
      </c>
    </row>
    <row r="274" ht="15.75" customHeight="1">
      <c r="A274" s="3" t="s">
        <v>153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 t="str">
        <f t="shared" ref="AG274:AM274" si="149">IF(AG273&gt;=$C268, "Y", "N")</f>
        <v>N</v>
      </c>
      <c r="AH274" s="3" t="str">
        <f t="shared" si="149"/>
        <v>N</v>
      </c>
      <c r="AI274" s="3" t="str">
        <f t="shared" si="149"/>
        <v>N</v>
      </c>
      <c r="AJ274" s="3" t="str">
        <f t="shared" si="149"/>
        <v>Y</v>
      </c>
      <c r="AK274" s="3" t="str">
        <f t="shared" si="149"/>
        <v>Y</v>
      </c>
      <c r="AL274" s="3" t="str">
        <f t="shared" si="149"/>
        <v>Y</v>
      </c>
      <c r="AM274" s="3" t="str">
        <f t="shared" si="149"/>
        <v>Y</v>
      </c>
    </row>
    <row r="275" ht="15.75" customHeight="1">
      <c r="A275" s="3" t="s">
        <v>154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12">
        <f t="shared" ref="AG275:AM275" si="150">AG269-AG272</f>
        <v>0</v>
      </c>
      <c r="AH275" s="12">
        <f t="shared" si="150"/>
        <v>0</v>
      </c>
      <c r="AI275" s="12">
        <f t="shared" si="150"/>
        <v>0</v>
      </c>
      <c r="AJ275" s="12">
        <f t="shared" si="150"/>
        <v>15453.38792</v>
      </c>
      <c r="AK275" s="12">
        <f t="shared" si="150"/>
        <v>27871.09714</v>
      </c>
      <c r="AL275" s="12">
        <f t="shared" si="150"/>
        <v>24984.36651</v>
      </c>
      <c r="AM275" s="12">
        <f t="shared" si="150"/>
        <v>21577.61086</v>
      </c>
    </row>
    <row r="276" ht="15.75" customHeight="1"/>
    <row r="277" ht="15.75" customHeight="1">
      <c r="A277" s="2" t="str">
        <f>Acquisition_Plan!A34</f>
        <v>2028-07-20</v>
      </c>
      <c r="B277" s="12">
        <f>Acquisition_Plan!E34</f>
        <v>400000</v>
      </c>
      <c r="C277" s="12">
        <f>B277*(1+Inputs!$B$12)</f>
        <v>420000</v>
      </c>
    </row>
    <row r="278" ht="15.75" customHeight="1">
      <c r="A278" s="3" t="s">
        <v>147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12">
        <f>$B277*Inputs!$B$15*Curves!C5*(1-Inputs!$B$16)</f>
        <v>217995.1505</v>
      </c>
      <c r="AI278" s="12">
        <f>$B277*Inputs!$B$15*Curves!C6*(1-Inputs!$B$16)</f>
        <v>103947.5553</v>
      </c>
      <c r="AJ278" s="12">
        <f>$B277*Inputs!$B$15*Curves!C7*(1-Inputs!$B$16)</f>
        <v>66631.45688</v>
      </c>
      <c r="AK278" s="12">
        <f>$B277*Inputs!$B$15*Curves!C8*(1-Inputs!$B$16)</f>
        <v>46879.22521</v>
      </c>
      <c r="AL278" s="12">
        <f>$B277*Inputs!$B$15*Curves!C9*(1-Inputs!$B$16)</f>
        <v>27871.09714</v>
      </c>
      <c r="AM278" s="12">
        <f>$B277*Inputs!$B$15*Curves!C10*(1-Inputs!$B$16)</f>
        <v>24984.36651</v>
      </c>
    </row>
    <row r="279" ht="15.75" customHeight="1">
      <c r="A279" s="3" t="s">
        <v>148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 t="s">
        <v>149</v>
      </c>
      <c r="AI279" s="3" t="str">
        <f t="shared" ref="AI279:AM279" si="151">IF($B277=0, "N", IF(AH282&gt;=$B277, "Y", "N"))</f>
        <v>N</v>
      </c>
      <c r="AJ279" s="3" t="str">
        <f t="shared" si="151"/>
        <v>N</v>
      </c>
      <c r="AK279" s="3" t="str">
        <f t="shared" si="151"/>
        <v>N</v>
      </c>
      <c r="AL279" s="3" t="str">
        <f t="shared" si="151"/>
        <v>Y</v>
      </c>
      <c r="AM279" s="3" t="str">
        <f t="shared" si="151"/>
        <v>Y</v>
      </c>
    </row>
    <row r="280" ht="15.75" customHeight="1">
      <c r="A280" s="3" t="s">
        <v>150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12">
        <v>0.0</v>
      </c>
      <c r="AI280" s="12">
        <f>IF(AND(AI279="Y", AH283="N"), $B277*Inputs!$B$12/12, 0)</f>
        <v>0</v>
      </c>
      <c r="AJ280" s="12">
        <f>IF(AND(AJ279="Y", AI283="N"), $B277*Inputs!$B$12/12, 0)</f>
        <v>0</v>
      </c>
      <c r="AK280" s="12">
        <f>IF(AND(AK279="Y", AJ283="N"), $B277*Inputs!$B$12/12, 0)</f>
        <v>0</v>
      </c>
      <c r="AL280" s="12">
        <f>IF(AND(AL279="Y", AK283="N"), $B277*Inputs!$B$12/12, 0)</f>
        <v>0</v>
      </c>
      <c r="AM280" s="12">
        <f>IF(AND(AM279="Y", AL283="N"), $B277*Inputs!$B$12/12, 0)</f>
        <v>0</v>
      </c>
    </row>
    <row r="281" ht="15.75" customHeight="1">
      <c r="A281" s="3" t="s">
        <v>151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12">
        <f>IF($B277=0, 0, MIN(AH278, $C277))</f>
        <v>217995.1505</v>
      </c>
      <c r="AI281" s="12">
        <f t="shared" ref="AI281:AM281" si="152">IF($B277=0, 0, IF(AH283="Y", 0, IF(AI279="N", MIN(AI278, $C277-AH282), MIN(AI278*0.5+AI280, $C277-AH282))))</f>
        <v>103947.5553</v>
      </c>
      <c r="AJ281" s="12">
        <f t="shared" si="152"/>
        <v>66631.45688</v>
      </c>
      <c r="AK281" s="12">
        <f t="shared" si="152"/>
        <v>31425.83729</v>
      </c>
      <c r="AL281" s="12">
        <f t="shared" si="152"/>
        <v>0</v>
      </c>
      <c r="AM281" s="12">
        <f t="shared" si="152"/>
        <v>0</v>
      </c>
    </row>
    <row r="282" ht="15.75" customHeight="1">
      <c r="A282" s="3" t="s">
        <v>152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12">
        <f>AH281</f>
        <v>217995.1505</v>
      </c>
      <c r="AI282" s="12">
        <f t="shared" ref="AI282:AM282" si="153">AH282+AI281</f>
        <v>321942.7058</v>
      </c>
      <c r="AJ282" s="12">
        <f t="shared" si="153"/>
        <v>388574.1627</v>
      </c>
      <c r="AK282" s="12">
        <f t="shared" si="153"/>
        <v>420000</v>
      </c>
      <c r="AL282" s="12">
        <f t="shared" si="153"/>
        <v>420000</v>
      </c>
      <c r="AM282" s="12">
        <f t="shared" si="153"/>
        <v>420000</v>
      </c>
    </row>
    <row r="283" ht="15.75" customHeight="1">
      <c r="A283" s="3" t="s">
        <v>153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 t="str">
        <f t="shared" ref="AH283:AM283" si="154">IF(AH282&gt;=$C277, "Y", "N")</f>
        <v>N</v>
      </c>
      <c r="AI283" s="3" t="str">
        <f t="shared" si="154"/>
        <v>N</v>
      </c>
      <c r="AJ283" s="3" t="str">
        <f t="shared" si="154"/>
        <v>N</v>
      </c>
      <c r="AK283" s="3" t="str">
        <f t="shared" si="154"/>
        <v>Y</v>
      </c>
      <c r="AL283" s="3" t="str">
        <f t="shared" si="154"/>
        <v>Y</v>
      </c>
      <c r="AM283" s="3" t="str">
        <f t="shared" si="154"/>
        <v>Y</v>
      </c>
    </row>
    <row r="284" ht="15.75" customHeight="1">
      <c r="A284" s="3" t="s">
        <v>154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12">
        <f t="shared" ref="AH284:AM284" si="155">AH278-AH281</f>
        <v>0</v>
      </c>
      <c r="AI284" s="12">
        <f t="shared" si="155"/>
        <v>0</v>
      </c>
      <c r="AJ284" s="12">
        <f t="shared" si="155"/>
        <v>0</v>
      </c>
      <c r="AK284" s="12">
        <f t="shared" si="155"/>
        <v>15453.38792</v>
      </c>
      <c r="AL284" s="12">
        <f t="shared" si="155"/>
        <v>27871.09714</v>
      </c>
      <c r="AM284" s="12">
        <f t="shared" si="155"/>
        <v>24984.36651</v>
      </c>
    </row>
    <row r="285" ht="15.75" customHeight="1"/>
    <row r="286" ht="15.75" customHeight="1">
      <c r="A286" s="2" t="str">
        <f>Acquisition_Plan!A35</f>
        <v>2028-08-19</v>
      </c>
      <c r="B286" s="12">
        <f>Acquisition_Plan!E35</f>
        <v>400000</v>
      </c>
      <c r="C286" s="12">
        <f>B286*(1+Inputs!$B$12)</f>
        <v>420000</v>
      </c>
    </row>
    <row r="287" ht="15.75" customHeight="1">
      <c r="A287" s="3" t="s">
        <v>147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12">
        <f>$B286*Inputs!$B$15*Curves!C5*(1-Inputs!$B$16)</f>
        <v>217995.1505</v>
      </c>
      <c r="AJ287" s="12">
        <f>$B286*Inputs!$B$15*Curves!C6*(1-Inputs!$B$16)</f>
        <v>103947.5553</v>
      </c>
      <c r="AK287" s="12">
        <f>$B286*Inputs!$B$15*Curves!C7*(1-Inputs!$B$16)</f>
        <v>66631.45688</v>
      </c>
      <c r="AL287" s="12">
        <f>$B286*Inputs!$B$15*Curves!C8*(1-Inputs!$B$16)</f>
        <v>46879.22521</v>
      </c>
      <c r="AM287" s="12">
        <f>$B286*Inputs!$B$15*Curves!C9*(1-Inputs!$B$16)</f>
        <v>27871.09714</v>
      </c>
    </row>
    <row r="288" ht="15.75" customHeight="1">
      <c r="A288" s="3" t="s">
        <v>148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 t="s">
        <v>149</v>
      </c>
      <c r="AJ288" s="3" t="str">
        <f t="shared" ref="AJ288:AM288" si="156">IF($B286=0, "N", IF(AI291&gt;=$B286, "Y", "N"))</f>
        <v>N</v>
      </c>
      <c r="AK288" s="3" t="str">
        <f t="shared" si="156"/>
        <v>N</v>
      </c>
      <c r="AL288" s="3" t="str">
        <f t="shared" si="156"/>
        <v>N</v>
      </c>
      <c r="AM288" s="3" t="str">
        <f t="shared" si="156"/>
        <v>Y</v>
      </c>
    </row>
    <row r="289" ht="15.75" customHeight="1">
      <c r="A289" s="3" t="s">
        <v>150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12">
        <v>0.0</v>
      </c>
      <c r="AJ289" s="12">
        <f>IF(AND(AJ288="Y", AI292="N"), $B286*Inputs!$B$12/12, 0)</f>
        <v>0</v>
      </c>
      <c r="AK289" s="12">
        <f>IF(AND(AK288="Y", AJ292="N"), $B286*Inputs!$B$12/12, 0)</f>
        <v>0</v>
      </c>
      <c r="AL289" s="12">
        <f>IF(AND(AL288="Y", AK292="N"), $B286*Inputs!$B$12/12, 0)</f>
        <v>0</v>
      </c>
      <c r="AM289" s="12">
        <f>IF(AND(AM288="Y", AL292="N"), $B286*Inputs!$B$12/12, 0)</f>
        <v>0</v>
      </c>
    </row>
    <row r="290" ht="15.75" customHeight="1">
      <c r="A290" s="3" t="s">
        <v>151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12">
        <f>IF($B286=0, 0, MIN(AI287, $C286))</f>
        <v>217995.1505</v>
      </c>
      <c r="AJ290" s="12">
        <f t="shared" ref="AJ290:AM290" si="157">IF($B286=0, 0, IF(AI292="Y", 0, IF(AJ288="N", MIN(AJ287, $C286-AI291), MIN(AJ287*0.5+AJ289, $C286-AI291))))</f>
        <v>103947.5553</v>
      </c>
      <c r="AK290" s="12">
        <f t="shared" si="157"/>
        <v>66631.45688</v>
      </c>
      <c r="AL290" s="12">
        <f t="shared" si="157"/>
        <v>31425.83729</v>
      </c>
      <c r="AM290" s="12">
        <f t="shared" si="157"/>
        <v>0</v>
      </c>
    </row>
    <row r="291" ht="15.75" customHeight="1">
      <c r="A291" s="3" t="s">
        <v>152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12">
        <f>AI290</f>
        <v>217995.1505</v>
      </c>
      <c r="AJ291" s="12">
        <f t="shared" ref="AJ291:AM291" si="158">AI291+AJ290</f>
        <v>321942.7058</v>
      </c>
      <c r="AK291" s="12">
        <f t="shared" si="158"/>
        <v>388574.1627</v>
      </c>
      <c r="AL291" s="12">
        <f t="shared" si="158"/>
        <v>420000</v>
      </c>
      <c r="AM291" s="12">
        <f t="shared" si="158"/>
        <v>420000</v>
      </c>
    </row>
    <row r="292" ht="15.75" customHeight="1">
      <c r="A292" s="3" t="s">
        <v>153</v>
      </c>
      <c r="D292" s="3">
        <v>0.0</v>
      </c>
      <c r="E292" s="3">
        <v>0.0</v>
      </c>
      <c r="F292" s="3">
        <v>0.0</v>
      </c>
      <c r="G292" s="3">
        <v>0.0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 t="str">
        <f t="shared" ref="AI292:AM292" si="159">IF(AI291&gt;=$C286, "Y", "N")</f>
        <v>N</v>
      </c>
      <c r="AJ292" s="3" t="str">
        <f t="shared" si="159"/>
        <v>N</v>
      </c>
      <c r="AK292" s="3" t="str">
        <f t="shared" si="159"/>
        <v>N</v>
      </c>
      <c r="AL292" s="3" t="str">
        <f t="shared" si="159"/>
        <v>Y</v>
      </c>
      <c r="AM292" s="3" t="str">
        <f t="shared" si="159"/>
        <v>Y</v>
      </c>
    </row>
    <row r="293" ht="15.75" customHeight="1">
      <c r="A293" s="3" t="s">
        <v>154</v>
      </c>
      <c r="D293" s="3">
        <v>0.0</v>
      </c>
      <c r="E293" s="3">
        <v>0.0</v>
      </c>
      <c r="F293" s="3">
        <v>0.0</v>
      </c>
      <c r="G293" s="3">
        <v>0.0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12">
        <f t="shared" ref="AI293:AM293" si="160">AI287-AI290</f>
        <v>0</v>
      </c>
      <c r="AJ293" s="12">
        <f t="shared" si="160"/>
        <v>0</v>
      </c>
      <c r="AK293" s="12">
        <f t="shared" si="160"/>
        <v>0</v>
      </c>
      <c r="AL293" s="12">
        <f t="shared" si="160"/>
        <v>15453.38792</v>
      </c>
      <c r="AM293" s="12">
        <f t="shared" si="160"/>
        <v>27871.09714</v>
      </c>
    </row>
    <row r="294" ht="15.75" customHeight="1"/>
    <row r="295" ht="15.75" customHeight="1">
      <c r="A295" s="2" t="str">
        <f>Acquisition_Plan!A36</f>
        <v>2028-09-18</v>
      </c>
      <c r="B295" s="12">
        <f>Acquisition_Plan!E36</f>
        <v>400000</v>
      </c>
      <c r="C295" s="12">
        <f>B295*(1+Inputs!$B$12)</f>
        <v>420000</v>
      </c>
    </row>
    <row r="296" ht="15.75" customHeight="1">
      <c r="A296" s="3" t="s">
        <v>147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12">
        <f>$B295*Inputs!$B$15*Curves!C5*(1-Inputs!$B$16)</f>
        <v>217995.1505</v>
      </c>
      <c r="AK296" s="12">
        <f>$B295*Inputs!$B$15*Curves!C6*(1-Inputs!$B$16)</f>
        <v>103947.5553</v>
      </c>
      <c r="AL296" s="12">
        <f>$B295*Inputs!$B$15*Curves!C7*(1-Inputs!$B$16)</f>
        <v>66631.45688</v>
      </c>
      <c r="AM296" s="12">
        <f>$B295*Inputs!$B$15*Curves!C8*(1-Inputs!$B$16)</f>
        <v>46879.22521</v>
      </c>
    </row>
    <row r="297" ht="15.75" customHeight="1">
      <c r="A297" s="3" t="s">
        <v>148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 t="s">
        <v>149</v>
      </c>
      <c r="AK297" s="3" t="str">
        <f t="shared" ref="AK297:AM297" si="161">IF($B295=0, "N", IF(AJ300&gt;=$B295, "Y", "N"))</f>
        <v>N</v>
      </c>
      <c r="AL297" s="3" t="str">
        <f t="shared" si="161"/>
        <v>N</v>
      </c>
      <c r="AM297" s="3" t="str">
        <f t="shared" si="161"/>
        <v>N</v>
      </c>
    </row>
    <row r="298" ht="15.75" customHeight="1">
      <c r="A298" s="3" t="s">
        <v>150</v>
      </c>
      <c r="D298" s="3">
        <v>0.0</v>
      </c>
      <c r="E298" s="3">
        <v>0.0</v>
      </c>
      <c r="F298" s="3">
        <v>0.0</v>
      </c>
      <c r="G298" s="3">
        <v>0.0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12">
        <v>0.0</v>
      </c>
      <c r="AK298" s="12">
        <f>IF(AND(AK297="Y", AJ301="N"), $B295*Inputs!$B$12/12, 0)</f>
        <v>0</v>
      </c>
      <c r="AL298" s="12">
        <f>IF(AND(AL297="Y", AK301="N"), $B295*Inputs!$B$12/12, 0)</f>
        <v>0</v>
      </c>
      <c r="AM298" s="12">
        <f>IF(AND(AM297="Y", AL301="N"), $B295*Inputs!$B$12/12, 0)</f>
        <v>0</v>
      </c>
    </row>
    <row r="299" ht="15.75" customHeight="1">
      <c r="A299" s="3" t="s">
        <v>151</v>
      </c>
      <c r="D299" s="3">
        <v>0.0</v>
      </c>
      <c r="E299" s="3">
        <v>0.0</v>
      </c>
      <c r="F299" s="3">
        <v>0.0</v>
      </c>
      <c r="G299" s="3">
        <v>0.0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12">
        <f>IF($B295=0, 0, MIN(AJ296, $C295))</f>
        <v>217995.1505</v>
      </c>
      <c r="AK299" s="12">
        <f t="shared" ref="AK299:AM299" si="162">IF($B295=0, 0, IF(AJ301="Y", 0, IF(AK297="N", MIN(AK296, $C295-AJ300), MIN(AK296*0.5+AK298, $C295-AJ300))))</f>
        <v>103947.5553</v>
      </c>
      <c r="AL299" s="12">
        <f t="shared" si="162"/>
        <v>66631.45688</v>
      </c>
      <c r="AM299" s="12">
        <f t="shared" si="162"/>
        <v>31425.83729</v>
      </c>
    </row>
    <row r="300" ht="15.75" customHeight="1">
      <c r="A300" s="3" t="s">
        <v>152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12">
        <f>AJ299</f>
        <v>217995.1505</v>
      </c>
      <c r="AK300" s="12">
        <f t="shared" ref="AK300:AM300" si="163">AJ300+AK299</f>
        <v>321942.7058</v>
      </c>
      <c r="AL300" s="12">
        <f t="shared" si="163"/>
        <v>388574.1627</v>
      </c>
      <c r="AM300" s="12">
        <f t="shared" si="163"/>
        <v>420000</v>
      </c>
    </row>
    <row r="301" ht="15.75" customHeight="1">
      <c r="A301" s="3" t="s">
        <v>153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 t="str">
        <f t="shared" ref="AJ301:AM301" si="164">IF(AJ300&gt;=$C295, "Y", "N")</f>
        <v>N</v>
      </c>
      <c r="AK301" s="3" t="str">
        <f t="shared" si="164"/>
        <v>N</v>
      </c>
      <c r="AL301" s="3" t="str">
        <f t="shared" si="164"/>
        <v>N</v>
      </c>
      <c r="AM301" s="3" t="str">
        <f t="shared" si="164"/>
        <v>Y</v>
      </c>
    </row>
    <row r="302" ht="15.75" customHeight="1">
      <c r="A302" s="3" t="s">
        <v>154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12">
        <f t="shared" ref="AJ302:AM302" si="165">AJ296-AJ299</f>
        <v>0</v>
      </c>
      <c r="AK302" s="12">
        <f t="shared" si="165"/>
        <v>0</v>
      </c>
      <c r="AL302" s="12">
        <f t="shared" si="165"/>
        <v>0</v>
      </c>
      <c r="AM302" s="12">
        <f t="shared" si="165"/>
        <v>15453.38792</v>
      </c>
    </row>
    <row r="303" ht="15.75" customHeight="1"/>
    <row r="304" ht="15.75" customHeight="1">
      <c r="A304" s="2" t="str">
        <f>Acquisition_Plan!A37</f>
        <v>2028-10-18</v>
      </c>
      <c r="B304" s="12">
        <f>Acquisition_Plan!E37</f>
        <v>400000</v>
      </c>
      <c r="C304" s="12">
        <f>B304*(1+Inputs!$B$12)</f>
        <v>420000</v>
      </c>
    </row>
    <row r="305" ht="15.75" customHeight="1">
      <c r="A305" s="3" t="s">
        <v>147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12">
        <f>$B304*Inputs!$B$15*Curves!C5*(1-Inputs!$B$16)</f>
        <v>217995.1505</v>
      </c>
      <c r="AL305" s="12">
        <f>$B304*Inputs!$B$15*Curves!C6*(1-Inputs!$B$16)</f>
        <v>103947.5553</v>
      </c>
      <c r="AM305" s="12">
        <f>$B304*Inputs!$B$15*Curves!C7*(1-Inputs!$B$16)</f>
        <v>66631.45688</v>
      </c>
    </row>
    <row r="306" ht="15.75" customHeight="1">
      <c r="A306" s="3" t="s">
        <v>148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 t="s">
        <v>149</v>
      </c>
      <c r="AL306" s="3" t="str">
        <f t="shared" ref="AL306:AM306" si="166">IF($B304=0, "N", IF(AK309&gt;=$B304, "Y", "N"))</f>
        <v>N</v>
      </c>
      <c r="AM306" s="3" t="str">
        <f t="shared" si="166"/>
        <v>N</v>
      </c>
    </row>
    <row r="307" ht="15.75" customHeight="1">
      <c r="A307" s="3" t="s">
        <v>150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12">
        <v>0.0</v>
      </c>
      <c r="AL307" s="12">
        <f>IF(AND(AL306="Y", AK310="N"), $B304*Inputs!$B$12/12, 0)</f>
        <v>0</v>
      </c>
      <c r="AM307" s="12">
        <f>IF(AND(AM306="Y", AL310="N"), $B304*Inputs!$B$12/12, 0)</f>
        <v>0</v>
      </c>
    </row>
    <row r="308" ht="15.75" customHeight="1">
      <c r="A308" s="3" t="s">
        <v>151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12">
        <f>IF($B304=0, 0, MIN(AK305, $C304))</f>
        <v>217995.1505</v>
      </c>
      <c r="AL308" s="12">
        <f t="shared" ref="AL308:AM308" si="167">IF($B304=0, 0, IF(AK310="Y", 0, IF(AL306="N", MIN(AL305, $C304-AK309), MIN(AL305*0.5+AL307, $C304-AK309))))</f>
        <v>103947.5553</v>
      </c>
      <c r="AM308" s="12">
        <f t="shared" si="167"/>
        <v>66631.45688</v>
      </c>
    </row>
    <row r="309" ht="15.75" customHeight="1">
      <c r="A309" s="3" t="s">
        <v>152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  <c r="AK309" s="12">
        <f>AK308</f>
        <v>217995.1505</v>
      </c>
      <c r="AL309" s="12">
        <f t="shared" ref="AL309:AM309" si="168">AK309+AL308</f>
        <v>321942.7058</v>
      </c>
      <c r="AM309" s="12">
        <f t="shared" si="168"/>
        <v>388574.1627</v>
      </c>
    </row>
    <row r="310" ht="15.75" customHeight="1">
      <c r="A310" s="3" t="s">
        <v>153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 t="str">
        <f t="shared" ref="AK310:AM310" si="169">IF(AK309&gt;=$C304, "Y", "N")</f>
        <v>N</v>
      </c>
      <c r="AL310" s="3" t="str">
        <f t="shared" si="169"/>
        <v>N</v>
      </c>
      <c r="AM310" s="3" t="str">
        <f t="shared" si="169"/>
        <v>N</v>
      </c>
    </row>
    <row r="311" ht="15.75" customHeight="1">
      <c r="A311" s="3" t="s">
        <v>154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12">
        <f t="shared" ref="AK311:AM311" si="170">AK305-AK308</f>
        <v>0</v>
      </c>
      <c r="AL311" s="12">
        <f t="shared" si="170"/>
        <v>0</v>
      </c>
      <c r="AM311" s="12">
        <f t="shared" si="170"/>
        <v>0</v>
      </c>
    </row>
    <row r="312" ht="15.75" customHeight="1"/>
    <row r="313" ht="15.75" customHeight="1">
      <c r="A313" s="2" t="str">
        <f>Acquisition_Plan!A38</f>
        <v>2028-11-17</v>
      </c>
      <c r="B313" s="12">
        <f>Acquisition_Plan!E38</f>
        <v>400000</v>
      </c>
      <c r="C313" s="12">
        <f>B313*(1+Inputs!$B$12)</f>
        <v>420000</v>
      </c>
    </row>
    <row r="314" ht="15.75" customHeight="1">
      <c r="A314" s="3" t="s">
        <v>147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12">
        <f>$B313*Inputs!$B$15*Curves!C5*(1-Inputs!$B$16)</f>
        <v>217995.1505</v>
      </c>
      <c r="AM314" s="12">
        <f>$B313*Inputs!$B$15*Curves!C6*(1-Inputs!$B$16)</f>
        <v>103947.5553</v>
      </c>
    </row>
    <row r="315" ht="15.75" customHeight="1">
      <c r="A315" s="3" t="s">
        <v>148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 t="s">
        <v>149</v>
      </c>
      <c r="AM315" s="3" t="str">
        <f>IF($B313=0, "N", IF(AL318&gt;=$B313, "Y", "N"))</f>
        <v>N</v>
      </c>
    </row>
    <row r="316" ht="15.75" customHeight="1">
      <c r="A316" s="3" t="s">
        <v>150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  <c r="AK316" s="3">
        <v>0.0</v>
      </c>
      <c r="AL316" s="12">
        <v>0.0</v>
      </c>
      <c r="AM316" s="12">
        <f>IF(AND(AM315="Y", AL319="N"), $B313*Inputs!$B$12/12, 0)</f>
        <v>0</v>
      </c>
    </row>
    <row r="317" ht="15.75" customHeight="1">
      <c r="A317" s="3" t="s">
        <v>151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  <c r="AK317" s="3">
        <v>0.0</v>
      </c>
      <c r="AL317" s="12">
        <f>IF($B313=0, 0, MIN(AL314, $C313))</f>
        <v>217995.1505</v>
      </c>
      <c r="AM317" s="12">
        <f>IF($B313=0, 0, IF(AL319="Y", 0, IF(AM315="N", MIN(AM314, $C313-AL318), MIN(AM314*0.5+AM316, $C313-AL318))))</f>
        <v>103947.5553</v>
      </c>
    </row>
    <row r="318" ht="15.75" customHeight="1">
      <c r="A318" s="3" t="s">
        <v>152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  <c r="AK318" s="3">
        <v>0.0</v>
      </c>
      <c r="AL318" s="12">
        <f>AL317</f>
        <v>217995.1505</v>
      </c>
      <c r="AM318" s="12">
        <f>AL318+AM317</f>
        <v>321942.7058</v>
      </c>
    </row>
    <row r="319" ht="15.75" customHeight="1">
      <c r="A319" s="3" t="s">
        <v>153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 t="str">
        <f t="shared" ref="AL319:AM319" si="171">IF(AL318&gt;=$C313, "Y", "N")</f>
        <v>N</v>
      </c>
      <c r="AM319" s="3" t="str">
        <f t="shared" si="171"/>
        <v>N</v>
      </c>
    </row>
    <row r="320" ht="15.75" customHeight="1">
      <c r="A320" s="3" t="s">
        <v>154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  <c r="AK320" s="3">
        <v>0.0</v>
      </c>
      <c r="AL320" s="12">
        <f t="shared" ref="AL320:AM320" si="172">AL314-AL317</f>
        <v>0</v>
      </c>
      <c r="AM320" s="12">
        <f t="shared" si="172"/>
        <v>0</v>
      </c>
    </row>
    <row r="321" ht="15.75" customHeight="1"/>
    <row r="322" ht="15.75" customHeight="1">
      <c r="A322" s="2" t="str">
        <f>Acquisition_Plan!A39</f>
        <v>2028-12-17</v>
      </c>
      <c r="B322" s="12">
        <f>Acquisition_Plan!E39</f>
        <v>400000</v>
      </c>
      <c r="C322" s="12">
        <f>B322*(1+Inputs!$B$12)</f>
        <v>420000</v>
      </c>
    </row>
    <row r="323" ht="15.75" customHeight="1">
      <c r="A323" s="3" t="s">
        <v>147</v>
      </c>
      <c r="D323" s="3">
        <v>0.0</v>
      </c>
      <c r="E323" s="3">
        <v>0.0</v>
      </c>
      <c r="F323" s="3">
        <v>0.0</v>
      </c>
      <c r="G323" s="3">
        <v>0.0</v>
      </c>
      <c r="H323" s="3">
        <v>0.0</v>
      </c>
      <c r="I323" s="3">
        <v>0.0</v>
      </c>
      <c r="J323" s="3">
        <v>0.0</v>
      </c>
      <c r="K323" s="3">
        <v>0.0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3">
        <v>0.0</v>
      </c>
      <c r="AE323" s="3">
        <v>0.0</v>
      </c>
      <c r="AF323" s="3">
        <v>0.0</v>
      </c>
      <c r="AG323" s="3">
        <v>0.0</v>
      </c>
      <c r="AH323" s="3">
        <v>0.0</v>
      </c>
      <c r="AI323" s="3">
        <v>0.0</v>
      </c>
      <c r="AJ323" s="3">
        <v>0.0</v>
      </c>
      <c r="AK323" s="3">
        <v>0.0</v>
      </c>
      <c r="AL323" s="3">
        <v>0.0</v>
      </c>
      <c r="AM323" s="12">
        <f>$B322*Inputs!$B$15*Curves!C5*(1-Inputs!$B$16)</f>
        <v>217995.1505</v>
      </c>
    </row>
    <row r="324" ht="15.75" customHeight="1">
      <c r="A324" s="3" t="s">
        <v>148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0.0</v>
      </c>
      <c r="AM324" s="3" t="s">
        <v>149</v>
      </c>
    </row>
    <row r="325" ht="15.75" customHeight="1">
      <c r="A325" s="3" t="s">
        <v>150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  <c r="AK325" s="3">
        <v>0.0</v>
      </c>
      <c r="AL325" s="3">
        <v>0.0</v>
      </c>
      <c r="AM325" s="12">
        <v>0.0</v>
      </c>
    </row>
    <row r="326" ht="15.75" customHeight="1">
      <c r="A326" s="3" t="s">
        <v>151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  <c r="AK326" s="3">
        <v>0.0</v>
      </c>
      <c r="AL326" s="3">
        <v>0.0</v>
      </c>
      <c r="AM326" s="12">
        <f>IF($B322=0, 0, MIN(AM323, $C322))</f>
        <v>217995.1505</v>
      </c>
    </row>
    <row r="327" ht="15.75" customHeight="1">
      <c r="A327" s="3" t="s">
        <v>152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  <c r="AK327" s="3">
        <v>0.0</v>
      </c>
      <c r="AL327" s="3">
        <v>0.0</v>
      </c>
      <c r="AM327" s="12">
        <f>AM326</f>
        <v>217995.1505</v>
      </c>
    </row>
    <row r="328" ht="15.75" customHeight="1">
      <c r="A328" s="3" t="s">
        <v>153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  <c r="AK328" s="3">
        <v>0.0</v>
      </c>
      <c r="AL328" s="3">
        <v>0.0</v>
      </c>
      <c r="AM328" s="3" t="str">
        <f>IF(AM327&gt;=$C322, "Y", "N")</f>
        <v>N</v>
      </c>
    </row>
    <row r="329" ht="15.75" customHeight="1">
      <c r="A329" s="3" t="s">
        <v>154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  <c r="AK329" s="3">
        <v>0.0</v>
      </c>
      <c r="AL329" s="3">
        <v>0.0</v>
      </c>
      <c r="AM329" s="12">
        <f>AM323-AM326</f>
        <v>0</v>
      </c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0"/>
    <col customWidth="1" min="5" max="26" width="8.71"/>
  </cols>
  <sheetData>
    <row r="1">
      <c r="A1" s="8" t="s">
        <v>155</v>
      </c>
    </row>
    <row r="3">
      <c r="A3" s="9" t="s">
        <v>34</v>
      </c>
      <c r="B3" s="9" t="s">
        <v>145</v>
      </c>
      <c r="C3" s="9" t="s">
        <v>151</v>
      </c>
      <c r="D3" s="9" t="s">
        <v>156</v>
      </c>
    </row>
    <row r="4">
      <c r="A4" s="3" t="s">
        <v>65</v>
      </c>
      <c r="B4" s="12">
        <f>Acquisition_Plan!E4</f>
        <v>0</v>
      </c>
      <c r="C4" s="12">
        <f>PVX_Detail!D11+PVX_Detail!D20+PVX_Detail!D29+PVX_Detail!D38+PVX_Detail!D47+PVX_Detail!D56+PVX_Detail!D65+PVX_Detail!D74+PVX_Detail!D83+PVX_Detail!D92+PVX_Detail!D101+PVX_Detail!D110+PVX_Detail!D119+PVX_Detail!D128+PVX_Detail!D137+PVX_Detail!D146+PVX_Detail!D155+PVX_Detail!D164+PVX_Detail!D173+PVX_Detail!D182+PVX_Detail!D191+PVX_Detail!D200+PVX_Detail!D209+PVX_Detail!D218+PVX_Detail!D227+PVX_Detail!D236+PVX_Detail!D245+PVX_Detail!D254+PVX_Detail!D263+PVX_Detail!D272+PVX_Detail!D281+PVX_Detail!D290+PVX_Detail!D299+PVX_Detail!D308+PVX_Detail!D317+PVX_Detail!D326</f>
        <v>0</v>
      </c>
      <c r="D4" s="12">
        <f>PVX_Detail!D14+PVX_Detail!D23+PVX_Detail!D32+PVX_Detail!D41+PVX_Detail!D50+PVX_Detail!D59+PVX_Detail!D68+PVX_Detail!D77+PVX_Detail!D86+PVX_Detail!D95+PVX_Detail!D104+PVX_Detail!D113+PVX_Detail!D122+PVX_Detail!D131+PVX_Detail!D140+PVX_Detail!D149+PVX_Detail!D158+PVX_Detail!D167+PVX_Detail!D176+PVX_Detail!D185+PVX_Detail!D194+PVX_Detail!D203+PVX_Detail!D212+PVX_Detail!D221+PVX_Detail!D230+PVX_Detail!D239+PVX_Detail!D248+PVX_Detail!D257+PVX_Detail!D266+PVX_Detail!D275+PVX_Detail!D284+PVX_Detail!D293+PVX_Detail!D302+PVX_Detail!D311+PVX_Detail!D320+PVX_Detail!D329</f>
        <v>0</v>
      </c>
    </row>
    <row r="5">
      <c r="A5" s="3" t="s">
        <v>66</v>
      </c>
      <c r="B5" s="12">
        <f>Acquisition_Plan!E5</f>
        <v>0</v>
      </c>
      <c r="C5" s="12">
        <f>PVX_Detail!E11+PVX_Detail!E20+PVX_Detail!E29+PVX_Detail!E38+PVX_Detail!E47+PVX_Detail!E56+PVX_Detail!E65+PVX_Detail!E74+PVX_Detail!E83+PVX_Detail!E92+PVX_Detail!E101+PVX_Detail!E110+PVX_Detail!E119+PVX_Detail!E128+PVX_Detail!E137+PVX_Detail!E146+PVX_Detail!E155+PVX_Detail!E164+PVX_Detail!E173+PVX_Detail!E182+PVX_Detail!E191+PVX_Detail!E200+PVX_Detail!E209+PVX_Detail!E218+PVX_Detail!E227+PVX_Detail!E236+PVX_Detail!E245+PVX_Detail!E254+PVX_Detail!E263+PVX_Detail!E272+PVX_Detail!E281+PVX_Detail!E290+PVX_Detail!E299+PVX_Detail!E308+PVX_Detail!E317+PVX_Detail!E326</f>
        <v>0</v>
      </c>
      <c r="D5" s="12">
        <f>PVX_Detail!E14+PVX_Detail!E23+PVX_Detail!E32+PVX_Detail!E41+PVX_Detail!E50+PVX_Detail!E59+PVX_Detail!E68+PVX_Detail!E77+PVX_Detail!E86+PVX_Detail!E95+PVX_Detail!E104+PVX_Detail!E113+PVX_Detail!E122+PVX_Detail!E131+PVX_Detail!E140+PVX_Detail!E149+PVX_Detail!E158+PVX_Detail!E167+PVX_Detail!E176+PVX_Detail!E185+PVX_Detail!E194+PVX_Detail!E203+PVX_Detail!E212+PVX_Detail!E221+PVX_Detail!E230+PVX_Detail!E239+PVX_Detail!E248+PVX_Detail!E257+PVX_Detail!E266+PVX_Detail!E275+PVX_Detail!E284+PVX_Detail!E293+PVX_Detail!E302+PVX_Detail!E311+PVX_Detail!E320+PVX_Detail!E329</f>
        <v>0</v>
      </c>
    </row>
    <row r="6">
      <c r="A6" s="3" t="s">
        <v>67</v>
      </c>
      <c r="B6" s="12">
        <f>Acquisition_Plan!E6</f>
        <v>150000</v>
      </c>
      <c r="C6" s="12">
        <f>PVX_Detail!F11+PVX_Detail!F20+PVX_Detail!F29+PVX_Detail!F38+PVX_Detail!F47+PVX_Detail!F56+PVX_Detail!F65+PVX_Detail!F74+PVX_Detail!F83+PVX_Detail!F92+PVX_Detail!F101+PVX_Detail!F110+PVX_Detail!F119+PVX_Detail!F128+PVX_Detail!F137+PVX_Detail!F146+PVX_Detail!F155+PVX_Detail!F164+PVX_Detail!F173+PVX_Detail!F182+PVX_Detail!F191+PVX_Detail!F200+PVX_Detail!F209+PVX_Detail!F218+PVX_Detail!F227+PVX_Detail!F236+PVX_Detail!F245+PVX_Detail!F254+PVX_Detail!F263+PVX_Detail!F272+PVX_Detail!F281+PVX_Detail!F290+PVX_Detail!F299+PVX_Detail!F308+PVX_Detail!F317+PVX_Detail!F326</f>
        <v>81748.18143</v>
      </c>
      <c r="D6" s="12">
        <f>PVX_Detail!F14+PVX_Detail!F23+PVX_Detail!F32+PVX_Detail!F41+PVX_Detail!F50+PVX_Detail!F59+PVX_Detail!F68+PVX_Detail!F77+PVX_Detail!F86+PVX_Detail!F95+PVX_Detail!F104+PVX_Detail!F113+PVX_Detail!F122+PVX_Detail!F131+PVX_Detail!F140+PVX_Detail!F149+PVX_Detail!F158+PVX_Detail!F167+PVX_Detail!F176+PVX_Detail!F185+PVX_Detail!F194+PVX_Detail!F203+PVX_Detail!F212+PVX_Detail!F221+PVX_Detail!F230+PVX_Detail!F239+PVX_Detail!F248+PVX_Detail!F257+PVX_Detail!F266+PVX_Detail!F275+PVX_Detail!F284+PVX_Detail!F293+PVX_Detail!F302+PVX_Detail!F311+PVX_Detail!F320+PVX_Detail!F329</f>
        <v>0</v>
      </c>
    </row>
    <row r="7">
      <c r="A7" s="3" t="s">
        <v>68</v>
      </c>
      <c r="B7" s="12">
        <f>Acquisition_Plan!E7</f>
        <v>150000</v>
      </c>
      <c r="C7" s="12">
        <f>PVX_Detail!G11+PVX_Detail!G20+PVX_Detail!G29+PVX_Detail!G38+PVX_Detail!G47+PVX_Detail!G56+PVX_Detail!G65+PVX_Detail!G74+PVX_Detail!G83+PVX_Detail!G92+PVX_Detail!G101+PVX_Detail!G110+PVX_Detail!G119+PVX_Detail!G128+PVX_Detail!G137+PVX_Detail!G146+PVX_Detail!G155+PVX_Detail!G164+PVX_Detail!G173+PVX_Detail!G182+PVX_Detail!G191+PVX_Detail!G200+PVX_Detail!G209+PVX_Detail!G218+PVX_Detail!G227+PVX_Detail!G236+PVX_Detail!G245+PVX_Detail!G254+PVX_Detail!G263+PVX_Detail!G272+PVX_Detail!G281+PVX_Detail!G290+PVX_Detail!G299+PVX_Detail!G308+PVX_Detail!G317+PVX_Detail!G326</f>
        <v>120728.5147</v>
      </c>
      <c r="D7" s="12">
        <f>PVX_Detail!G14+PVX_Detail!G23+PVX_Detail!G32+PVX_Detail!G41+PVX_Detail!G50+PVX_Detail!G59+PVX_Detail!G68+PVX_Detail!G77+PVX_Detail!G86+PVX_Detail!G95+PVX_Detail!G104+PVX_Detail!G113+PVX_Detail!G122+PVX_Detail!G131+PVX_Detail!G140+PVX_Detail!G149+PVX_Detail!G158+PVX_Detail!G167+PVX_Detail!G176+PVX_Detail!G185+PVX_Detail!G194+PVX_Detail!G203+PVX_Detail!G212+PVX_Detail!G221+PVX_Detail!G230+PVX_Detail!G239+PVX_Detail!G248+PVX_Detail!G257+PVX_Detail!G266+PVX_Detail!G275+PVX_Detail!G284+PVX_Detail!G293+PVX_Detail!G302+PVX_Detail!G311+PVX_Detail!G320+PVX_Detail!G329</f>
        <v>0</v>
      </c>
    </row>
    <row r="8">
      <c r="A8" s="3" t="s">
        <v>69</v>
      </c>
      <c r="B8" s="12">
        <f>Acquisition_Plan!E8</f>
        <v>200000</v>
      </c>
      <c r="C8" s="12">
        <f>PVX_Detail!H11+PVX_Detail!H20+PVX_Detail!H29+PVX_Detail!H38+PVX_Detail!H47+PVX_Detail!H56+PVX_Detail!H65+PVX_Detail!H74+PVX_Detail!H83+PVX_Detail!H92+PVX_Detail!H101+PVX_Detail!H110+PVX_Detail!H119+PVX_Detail!H128+PVX_Detail!H137+PVX_Detail!H146+PVX_Detail!H155+PVX_Detail!H164+PVX_Detail!H173+PVX_Detail!H182+PVX_Detail!H191+PVX_Detail!H200+PVX_Detail!H209+PVX_Detail!H218+PVX_Detail!H227+PVX_Detail!H236+PVX_Detail!H245+PVX_Detail!H254+PVX_Detail!H263+PVX_Detail!H272+PVX_Detail!H281+PVX_Detail!H290+PVX_Detail!H299+PVX_Detail!H308+PVX_Detail!H317+PVX_Detail!H326</f>
        <v>172964.7048</v>
      </c>
      <c r="D8" s="12">
        <f>PVX_Detail!H14+PVX_Detail!H23+PVX_Detail!H32+PVX_Detail!H41+PVX_Detail!H50+PVX_Detail!H59+PVX_Detail!H68+PVX_Detail!H77+PVX_Detail!H86+PVX_Detail!H95+PVX_Detail!H104+PVX_Detail!H113+PVX_Detail!H122+PVX_Detail!H131+PVX_Detail!H140+PVX_Detail!H149+PVX_Detail!H158+PVX_Detail!H167+PVX_Detail!H176+PVX_Detail!H185+PVX_Detail!H194+PVX_Detail!H203+PVX_Detail!H212+PVX_Detail!H221+PVX_Detail!H230+PVX_Detail!H239+PVX_Detail!H248+PVX_Detail!H257+PVX_Detail!H266+PVX_Detail!H275+PVX_Detail!H284+PVX_Detail!H293+PVX_Detail!H302+PVX_Detail!H311+PVX_Detail!H320+PVX_Detail!H329</f>
        <v>0</v>
      </c>
    </row>
    <row r="9">
      <c r="A9" s="3" t="s">
        <v>70</v>
      </c>
      <c r="B9" s="12">
        <f>Acquisition_Plan!E9</f>
        <v>200000</v>
      </c>
      <c r="C9" s="12">
        <f>PVX_Detail!I11+PVX_Detail!I20+PVX_Detail!I29+PVX_Detail!I38+PVX_Detail!I47+PVX_Detail!I56+PVX_Detail!I65+PVX_Detail!I74+PVX_Detail!I83+PVX_Detail!I92+PVX_Detail!I101+PVX_Detail!I110+PVX_Detail!I119+PVX_Detail!I128+PVX_Detail!I137+PVX_Detail!I146+PVX_Detail!I155+PVX_Detail!I164+PVX_Detail!I173+PVX_Detail!I182+PVX_Detail!I191+PVX_Detail!I200+PVX_Detail!I209+PVX_Detail!I218+PVX_Detail!I227+PVX_Detail!I236+PVX_Detail!I245+PVX_Detail!I254+PVX_Detail!I263+PVX_Detail!I272+PVX_Detail!I281+PVX_Detail!I290+PVX_Detail!I299+PVX_Detail!I308+PVX_Detail!I317+PVX_Detail!I326</f>
        <v>197742.8382</v>
      </c>
      <c r="D9" s="12">
        <f>PVX_Detail!I14+PVX_Detail!I23+PVX_Detail!I32+PVX_Detail!I41+PVX_Detail!I50+PVX_Detail!I59+PVX_Detail!I68+PVX_Detail!I77+PVX_Detail!I86+PVX_Detail!I95+PVX_Detail!I104+PVX_Detail!I113+PVX_Detail!I122+PVX_Detail!I131+PVX_Detail!I140+PVX_Detail!I149+PVX_Detail!I158+PVX_Detail!I167+PVX_Detail!I176+PVX_Detail!I185+PVX_Detail!I194+PVX_Detail!I203+PVX_Detail!I212+PVX_Detail!I221+PVX_Detail!I230+PVX_Detail!I239+PVX_Detail!I248+PVX_Detail!I257+PVX_Detail!I266+PVX_Detail!I275+PVX_Detail!I284+PVX_Detail!I293+PVX_Detail!I302+PVX_Detail!I311+PVX_Detail!I320+PVX_Detail!I329</f>
        <v>5795.020469</v>
      </c>
    </row>
    <row r="10">
      <c r="A10" s="3" t="s">
        <v>71</v>
      </c>
      <c r="B10" s="12">
        <f>Acquisition_Plan!E10</f>
        <v>250000</v>
      </c>
      <c r="C10" s="12">
        <f>PVX_Detail!J11+PVX_Detail!J20+PVX_Detail!J29+PVX_Detail!J38+PVX_Detail!J47+PVX_Detail!J56+PVX_Detail!J65+PVX_Detail!J74+PVX_Detail!J83+PVX_Detail!J92+PVX_Detail!J101+PVX_Detail!J110+PVX_Detail!J119+PVX_Detail!J128+PVX_Detail!J137+PVX_Detail!J146+PVX_Detail!J155+PVX_Detail!J164+PVX_Detail!J173+PVX_Detail!J182+PVX_Detail!J191+PVX_Detail!J200+PVX_Detail!J209+PVX_Detail!J218+PVX_Detail!J227+PVX_Detail!J236+PVX_Detail!J245+PVX_Detail!J254+PVX_Detail!J263+PVX_Detail!J272+PVX_Detail!J281+PVX_Detail!J290+PVX_Detail!J299+PVX_Detail!J308+PVX_Detail!J317+PVX_Detail!J326</f>
        <v>233321.1641</v>
      </c>
      <c r="D10" s="12">
        <f>PVX_Detail!J14+PVX_Detail!J23+PVX_Detail!J32+PVX_Detail!J41+PVX_Detail!J50+PVX_Detail!J59+PVX_Detail!J68+PVX_Detail!J77+PVX_Detail!J86+PVX_Detail!J95+PVX_Detail!J104+PVX_Detail!J113+PVX_Detail!J122+PVX_Detail!J131+PVX_Detail!J140+PVX_Detail!J149+PVX_Detail!J158+PVX_Detail!J167+PVX_Detail!J176+PVX_Detail!J185+PVX_Detail!J194+PVX_Detail!J203+PVX_Detail!J212+PVX_Detail!J221+PVX_Detail!J230+PVX_Detail!J239+PVX_Detail!J248+PVX_Detail!J257+PVX_Detail!J266+PVX_Detail!J275+PVX_Detail!J284+PVX_Detail!J293+PVX_Detail!J302+PVX_Detail!J311+PVX_Detail!J320+PVX_Detail!J329</f>
        <v>16246.6819</v>
      </c>
    </row>
    <row r="11">
      <c r="A11" s="3" t="s">
        <v>72</v>
      </c>
      <c r="B11" s="12">
        <f>Acquisition_Plan!E11</f>
        <v>250000</v>
      </c>
      <c r="C11" s="12">
        <f>PVX_Detail!K11+PVX_Detail!K20+PVX_Detail!K29+PVX_Detail!K38+PVX_Detail!K47+PVX_Detail!K56+PVX_Detail!K65+PVX_Detail!K74+PVX_Detail!K83+PVX_Detail!K92+PVX_Detail!K101+PVX_Detail!K110+PVX_Detail!K119+PVX_Detail!K128+PVX_Detail!K137+PVX_Detail!K146+PVX_Detail!K155+PVX_Detail!K164+PVX_Detail!K173+PVX_Detail!K182+PVX_Detail!K191+PVX_Detail!K200+PVX_Detail!K209+PVX_Detail!K218+PVX_Detail!K227+PVX_Detail!K236+PVX_Detail!K245+PVX_Detail!K254+PVX_Detail!K263+PVX_Detail!K272+PVX_Detail!K281+PVX_Detail!K290+PVX_Detail!K299+PVX_Detail!K308+PVX_Detail!K317+PVX_Detail!K326</f>
        <v>250242.8382</v>
      </c>
      <c r="D11" s="12">
        <f>PVX_Detail!K14+PVX_Detail!K23+PVX_Detail!K32+PVX_Detail!K41+PVX_Detail!K50+PVX_Detail!K59+PVX_Detail!K68+PVX_Detail!K77+PVX_Detail!K86+PVX_Detail!K95+PVX_Detail!K104+PVX_Detail!K113+PVX_Detail!K122+PVX_Detail!K131+PVX_Detail!K140+PVX_Detail!K149+PVX_Detail!K158+PVX_Detail!K167+PVX_Detail!K176+PVX_Detail!K185+PVX_Detail!K194+PVX_Detail!K203+PVX_Detail!K212+PVX_Detail!K221+PVX_Detail!K230+PVX_Detail!K239+PVX_Detail!K248+PVX_Detail!K257+PVX_Detail!K266+PVX_Detail!K275+PVX_Detail!K284+PVX_Detail!K293+PVX_Detail!K302+PVX_Detail!K311+PVX_Detail!K320+PVX_Detail!K329</f>
        <v>27547.49283</v>
      </c>
    </row>
    <row r="12">
      <c r="A12" s="3" t="s">
        <v>73</v>
      </c>
      <c r="B12" s="12">
        <f>Acquisition_Plan!E12</f>
        <v>300000</v>
      </c>
      <c r="C12" s="12">
        <f>PVX_Detail!L11+PVX_Detail!L20+PVX_Detail!L29+PVX_Detail!L38+PVX_Detail!L47+PVX_Detail!L56+PVX_Detail!L65+PVX_Detail!L74+PVX_Detail!L83+PVX_Detail!L92+PVX_Detail!L101+PVX_Detail!L110+PVX_Detail!L119+PVX_Detail!L128+PVX_Detail!L137+PVX_Detail!L146+PVX_Detail!L155+PVX_Detail!L164+PVX_Detail!L173+PVX_Detail!L182+PVX_Detail!L191+PVX_Detail!L200+PVX_Detail!L209+PVX_Detail!L218+PVX_Detail!L227+PVX_Detail!L236+PVX_Detail!L245+PVX_Detail!L254+PVX_Detail!L263+PVX_Detail!L272+PVX_Detail!L281+PVX_Detail!L290+PVX_Detail!L299+PVX_Detail!L308+PVX_Detail!L317+PVX_Detail!L326</f>
        <v>285821.1641</v>
      </c>
      <c r="D12" s="12">
        <f>PVX_Detail!L14+PVX_Detail!L23+PVX_Detail!L32+PVX_Detail!L41+PVX_Detail!L50+PVX_Detail!L59+PVX_Detail!L68+PVX_Detail!L77+PVX_Detail!L86+PVX_Detail!L95+PVX_Detail!L104+PVX_Detail!L113+PVX_Detail!L122+PVX_Detail!L131+PVX_Detail!L140+PVX_Detail!L149+PVX_Detail!L158+PVX_Detail!L167+PVX_Detail!L176+PVX_Detail!L185+PVX_Detail!L194+PVX_Detail!L203+PVX_Detail!L212+PVX_Detail!L221+PVX_Detail!L230+PVX_Detail!L239+PVX_Detail!L248+PVX_Detail!L257+PVX_Detail!L266+PVX_Detail!L275+PVX_Detail!L284+PVX_Detail!L293+PVX_Detail!L302+PVX_Detail!L311+PVX_Detail!L320+PVX_Detail!L329</f>
        <v>39122.98404</v>
      </c>
    </row>
    <row r="13">
      <c r="A13" s="3" t="s">
        <v>74</v>
      </c>
      <c r="B13" s="12">
        <f>Acquisition_Plan!E13</f>
        <v>300000</v>
      </c>
      <c r="C13" s="12">
        <f>PVX_Detail!M11+PVX_Detail!M20+PVX_Detail!M29+PVX_Detail!M38+PVX_Detail!M47+PVX_Detail!M56+PVX_Detail!M65+PVX_Detail!M74+PVX_Detail!M83+PVX_Detail!M92+PVX_Detail!M101+PVX_Detail!M110+PVX_Detail!M119+PVX_Detail!M128+PVX_Detail!M137+PVX_Detail!M146+PVX_Detail!M155+PVX_Detail!M164+PVX_Detail!M173+PVX_Detail!M182+PVX_Detail!M191+PVX_Detail!M200+PVX_Detail!M209+PVX_Detail!M218+PVX_Detail!M227+PVX_Detail!M236+PVX_Detail!M245+PVX_Detail!M254+PVX_Detail!M263+PVX_Detail!M272+PVX_Detail!M281+PVX_Detail!M290+PVX_Detail!M299+PVX_Detail!M308+PVX_Detail!M317+PVX_Detail!M326</f>
        <v>302742.8382</v>
      </c>
      <c r="D13" s="12">
        <f>PVX_Detail!M14+PVX_Detail!M23+PVX_Detail!M32+PVX_Detail!M41+PVX_Detail!M50+PVX_Detail!M59+PVX_Detail!M68+PVX_Detail!M77+PVX_Detail!M86+PVX_Detail!M95+PVX_Detail!M104+PVX_Detail!M113+PVX_Detail!M122+PVX_Detail!M131+PVX_Detail!M140+PVX_Detail!M149+PVX_Detail!M158+PVX_Detail!M167+PVX_Detail!M176+PVX_Detail!M185+PVX_Detail!M194+PVX_Detail!M203+PVX_Detail!M212+PVX_Detail!M221+PVX_Detail!M230+PVX_Detail!M239+PVX_Detail!M248+PVX_Detail!M257+PVX_Detail!M266+PVX_Detail!M275+PVX_Detail!M284+PVX_Detail!M293+PVX_Detail!M302+PVX_Detail!M311+PVX_Detail!M320+PVX_Detail!M329</f>
        <v>51327.0874</v>
      </c>
    </row>
    <row r="14">
      <c r="A14" s="3" t="s">
        <v>75</v>
      </c>
      <c r="B14" s="12">
        <f>Acquisition_Plan!E14</f>
        <v>350000</v>
      </c>
      <c r="C14" s="12">
        <f>PVX_Detail!N11+PVX_Detail!N20+PVX_Detail!N29+PVX_Detail!N38+PVX_Detail!N47+PVX_Detail!N56+PVX_Detail!N65+PVX_Detail!N74+PVX_Detail!N83+PVX_Detail!N92+PVX_Detail!N101+PVX_Detail!N110+PVX_Detail!N119+PVX_Detail!N128+PVX_Detail!N137+PVX_Detail!N146+PVX_Detail!N155+PVX_Detail!N164+PVX_Detail!N173+PVX_Detail!N182+PVX_Detail!N191+PVX_Detail!N200+PVX_Detail!N209+PVX_Detail!N218+PVX_Detail!N227+PVX_Detail!N236+PVX_Detail!N245+PVX_Detail!N254+PVX_Detail!N263+PVX_Detail!N272+PVX_Detail!N281+PVX_Detail!N290+PVX_Detail!N299+PVX_Detail!N308+PVX_Detail!N317+PVX_Detail!N326</f>
        <v>338321.1641</v>
      </c>
      <c r="D14" s="12">
        <f>PVX_Detail!N14+PVX_Detail!N23+PVX_Detail!N32+PVX_Detail!N41+PVX_Detail!N50+PVX_Detail!N59+PVX_Detail!N68+PVX_Detail!N77+PVX_Detail!N86+PVX_Detail!N95+PVX_Detail!N104+PVX_Detail!N113+PVX_Detail!N122+PVX_Detail!N131+PVX_Detail!N140+PVX_Detail!N149+PVX_Detail!N158+PVX_Detail!N167+PVX_Detail!N176+PVX_Detail!N185+PVX_Detail!N194+PVX_Detail!N203+PVX_Detail!N212+PVX_Detail!N221+PVX_Detail!N230+PVX_Detail!N239+PVX_Detail!N248+PVX_Detail!N257+PVX_Detail!N266+PVX_Detail!N275+PVX_Detail!N284+PVX_Detail!N293+PVX_Detail!N302+PVX_Detail!N311+PVX_Detail!N320+PVX_Detail!N329</f>
        <v>63899.43847</v>
      </c>
    </row>
    <row r="15">
      <c r="A15" s="3" t="s">
        <v>76</v>
      </c>
      <c r="B15" s="12">
        <f>Acquisition_Plan!E15</f>
        <v>350000</v>
      </c>
      <c r="C15" s="12">
        <f>PVX_Detail!O11+PVX_Detail!O20+PVX_Detail!O29+PVX_Detail!O38+PVX_Detail!O47+PVX_Detail!O56+PVX_Detail!O65+PVX_Detail!O74+PVX_Detail!O83+PVX_Detail!O92+PVX_Detail!O101+PVX_Detail!O110+PVX_Detail!O119+PVX_Detail!O128+PVX_Detail!O137+PVX_Detail!O146+PVX_Detail!O155+PVX_Detail!O164+PVX_Detail!O173+PVX_Detail!O182+PVX_Detail!O191+PVX_Detail!O200+PVX_Detail!O209+PVX_Detail!O218+PVX_Detail!O227+PVX_Detail!O236+PVX_Detail!O245+PVX_Detail!O254+PVX_Detail!O263+PVX_Detail!O272+PVX_Detail!O281+PVX_Detail!O290+PVX_Detail!O299+PVX_Detail!O308+PVX_Detail!O317+PVX_Detail!O326</f>
        <v>355242.8382</v>
      </c>
      <c r="D15" s="12">
        <f>PVX_Detail!O14+PVX_Detail!O23+PVX_Detail!O32+PVX_Detail!O41+PVX_Detail!O50+PVX_Detail!O59+PVX_Detail!O68+PVX_Detail!O77+PVX_Detail!O86+PVX_Detail!O95+PVX_Detail!O104+PVX_Detail!O113+PVX_Detail!O122+PVX_Detail!O131+PVX_Detail!O140+PVX_Detail!O149+PVX_Detail!O158+PVX_Detail!O167+PVX_Detail!O176+PVX_Detail!O185+PVX_Detail!O194+PVX_Detail!O203+PVX_Detail!O212+PVX_Detail!O221+PVX_Detail!O230+PVX_Detail!O239+PVX_Detail!O248+PVX_Detail!O257+PVX_Detail!O266+PVX_Detail!O275+PVX_Detail!O284+PVX_Detail!O293+PVX_Detail!O302+PVX_Detail!O311+PVX_Detail!O320+PVX_Detail!O329</f>
        <v>78764.21576</v>
      </c>
    </row>
    <row r="16">
      <c r="A16" s="3" t="s">
        <v>77</v>
      </c>
      <c r="B16" s="12">
        <f>Acquisition_Plan!E16</f>
        <v>400000</v>
      </c>
      <c r="C16" s="12">
        <f>PVX_Detail!P11+PVX_Detail!P20+PVX_Detail!P29+PVX_Detail!P38+PVX_Detail!P47+PVX_Detail!P56+PVX_Detail!P65+PVX_Detail!P74+PVX_Detail!P83+PVX_Detail!P92+PVX_Detail!P101+PVX_Detail!P110+PVX_Detail!P119+PVX_Detail!P128+PVX_Detail!P137+PVX_Detail!P146+PVX_Detail!P155+PVX_Detail!P164+PVX_Detail!P173+PVX_Detail!P182+PVX_Detail!P191+PVX_Detail!P200+PVX_Detail!P209+PVX_Detail!P218+PVX_Detail!P227+PVX_Detail!P236+PVX_Detail!P245+PVX_Detail!P254+PVX_Detail!P263+PVX_Detail!P272+PVX_Detail!P281+PVX_Detail!P290+PVX_Detail!P299+PVX_Detail!P308+PVX_Detail!P317+PVX_Detail!P326</f>
        <v>390821.1641</v>
      </c>
      <c r="D16" s="12">
        <f>PVX_Detail!P14+PVX_Detail!P23+PVX_Detail!P32+PVX_Detail!P41+PVX_Detail!P50+PVX_Detail!P59+PVX_Detail!P68+PVX_Detail!P77+PVX_Detail!P86+PVX_Detail!P95+PVX_Detail!P104+PVX_Detail!P113+PVX_Detail!P122+PVX_Detail!P131+PVX_Detail!P140+PVX_Detail!P149+PVX_Detail!P158+PVX_Detail!P167+PVX_Detail!P176+PVX_Detail!P185+PVX_Detail!P194+PVX_Detail!P203+PVX_Detail!P212+PVX_Detail!P221+PVX_Detail!P230+PVX_Detail!P239+PVX_Detail!P248+PVX_Detail!P257+PVX_Detail!P266+PVX_Detail!P275+PVX_Detail!P284+PVX_Detail!P293+PVX_Detail!P302+PVX_Detail!P311+PVX_Detail!P320+PVX_Detail!P329</f>
        <v>92250.72511</v>
      </c>
    </row>
    <row r="17">
      <c r="A17" s="3" t="s">
        <v>78</v>
      </c>
      <c r="B17" s="12">
        <f>Acquisition_Plan!E17</f>
        <v>400000</v>
      </c>
      <c r="C17" s="12">
        <f>PVX_Detail!Q11+PVX_Detail!Q20+PVX_Detail!Q29+PVX_Detail!Q38+PVX_Detail!Q47+PVX_Detail!Q56+PVX_Detail!Q65+PVX_Detail!Q74+PVX_Detail!Q83+PVX_Detail!Q92+PVX_Detail!Q101+PVX_Detail!Q110+PVX_Detail!Q119+PVX_Detail!Q128+PVX_Detail!Q137+PVX_Detail!Q146+PVX_Detail!Q155+PVX_Detail!Q164+PVX_Detail!Q173+PVX_Detail!Q182+PVX_Detail!Q191+PVX_Detail!Q200+PVX_Detail!Q209+PVX_Detail!Q218+PVX_Detail!Q227+PVX_Detail!Q236+PVX_Detail!Q245+PVX_Detail!Q254+PVX_Detail!Q263+PVX_Detail!Q272+PVX_Detail!Q281+PVX_Detail!Q290+PVX_Detail!Q299+PVX_Detail!Q308+PVX_Detail!Q317+PVX_Detail!Q326</f>
        <v>407742.8382</v>
      </c>
      <c r="D17" s="12">
        <f>PVX_Detail!Q14+PVX_Detail!Q23+PVX_Detail!Q32+PVX_Detail!Q41+PVX_Detail!Q50+PVX_Detail!Q59+PVX_Detail!Q68+PVX_Detail!Q77+PVX_Detail!Q86+PVX_Detail!Q95+PVX_Detail!Q104+PVX_Detail!Q113+PVX_Detail!Q122+PVX_Detail!Q131+PVX_Detail!Q140+PVX_Detail!Q149+PVX_Detail!Q158+PVX_Detail!Q167+PVX_Detail!Q176+PVX_Detail!Q185+PVX_Detail!Q194+PVX_Detail!Q203+PVX_Detail!Q212+PVX_Detail!Q221+PVX_Detail!Q230+PVX_Detail!Q239+PVX_Detail!Q248+PVX_Detail!Q257+PVX_Detail!Q266+PVX_Detail!Q275+PVX_Detail!Q284+PVX_Detail!Q293+PVX_Detail!Q302+PVX_Detail!Q311+PVX_Detail!Q320+PVX_Detail!Q329</f>
        <v>107339.2158</v>
      </c>
    </row>
    <row r="18">
      <c r="A18" s="3" t="s">
        <v>79</v>
      </c>
      <c r="B18" s="12">
        <f>Acquisition_Plan!E18</f>
        <v>400000</v>
      </c>
      <c r="C18" s="12">
        <f>PVX_Detail!R11+PVX_Detail!R20+PVX_Detail!R29+PVX_Detail!R38+PVX_Detail!R47+PVX_Detail!R56+PVX_Detail!R65+PVX_Detail!R74+PVX_Detail!R83+PVX_Detail!R92+PVX_Detail!R101+PVX_Detail!R110+PVX_Detail!R119+PVX_Detail!R128+PVX_Detail!R137+PVX_Detail!R146+PVX_Detail!R155+PVX_Detail!R164+PVX_Detail!R173+PVX_Detail!R182+PVX_Detail!R191+PVX_Detail!R200+PVX_Detail!R209+PVX_Detail!R218+PVX_Detail!R227+PVX_Detail!R236+PVX_Detail!R245+PVX_Detail!R254+PVX_Detail!R263+PVX_Detail!R272+PVX_Detail!R281+PVX_Detail!R290+PVX_Detail!R299+PVX_Detail!R308+PVX_Detail!R317+PVX_Detail!R326</f>
        <v>416071.7703</v>
      </c>
      <c r="D18" s="12">
        <f>PVX_Detail!R14+PVX_Detail!R23+PVX_Detail!R32+PVX_Detail!R41+PVX_Detail!R50+PVX_Detail!R59+PVX_Detail!R68+PVX_Detail!R77+PVX_Detail!R86+PVX_Detail!R95+PVX_Detail!R104+PVX_Detail!R113+PVX_Detail!R122+PVX_Detail!R131+PVX_Detail!R140+PVX_Detail!R149+PVX_Detail!R158+PVX_Detail!R167+PVX_Detail!R176+PVX_Detail!R185+PVX_Detail!R194+PVX_Detail!R203+PVX_Detail!R212+PVX_Detail!R221+PVX_Detail!R230+PVX_Detail!R239+PVX_Detail!R248+PVX_Detail!R257+PVX_Detail!R266+PVX_Detail!R275+PVX_Detail!R284+PVX_Detail!R293+PVX_Detail!R302+PVX_Detail!R311+PVX_Detail!R320+PVX_Detail!R329</f>
        <v>122550.7251</v>
      </c>
    </row>
    <row r="19">
      <c r="A19" s="3" t="s">
        <v>80</v>
      </c>
      <c r="B19" s="12">
        <f>Acquisition_Plan!E19</f>
        <v>400000</v>
      </c>
      <c r="C19" s="12">
        <f>PVX_Detail!S11+PVX_Detail!S20+PVX_Detail!S29+PVX_Detail!S38+PVX_Detail!S47+PVX_Detail!S56+PVX_Detail!S65+PVX_Detail!S74+PVX_Detail!S83+PVX_Detail!S92+PVX_Detail!S101+PVX_Detail!S110+PVX_Detail!S119+PVX_Detail!S128+PVX_Detail!S137+PVX_Detail!S146+PVX_Detail!S155+PVX_Detail!S164+PVX_Detail!S173+PVX_Detail!S182+PVX_Detail!S191+PVX_Detail!S200+PVX_Detail!S209+PVX_Detail!S218+PVX_Detail!S227+PVX_Detail!S236+PVX_Detail!S245+PVX_Detail!S254+PVX_Detail!S263+PVX_Detail!S272+PVX_Detail!S281+PVX_Detail!S290+PVX_Detail!S299+PVX_Detail!S308+PVX_Detail!S317+PVX_Detail!S326</f>
        <v>420000</v>
      </c>
      <c r="D19" s="12">
        <f>PVX_Detail!S14+PVX_Detail!S23+PVX_Detail!S32+PVX_Detail!S41+PVX_Detail!S50+PVX_Detail!S59+PVX_Detail!S68+PVX_Detail!S77+PVX_Detail!S86+PVX_Detail!S95+PVX_Detail!S104+PVX_Detail!S113+PVX_Detail!S122+PVX_Detail!S131+PVX_Detail!S140+PVX_Detail!S149+PVX_Detail!S158+PVX_Detail!S167+PVX_Detail!S176+PVX_Detail!S185+PVX_Detail!S194+PVX_Detail!S203+PVX_Detail!S212+PVX_Detail!S221+PVX_Detail!S230+PVX_Detail!S239+PVX_Detail!S248+PVX_Detail!S257+PVX_Detail!S266+PVX_Detail!S275+PVX_Detail!S284+PVX_Detail!S293+PVX_Detail!S302+PVX_Detail!S311+PVX_Detail!S320+PVX_Detail!S329</f>
        <v>135482.9658</v>
      </c>
    </row>
    <row r="20">
      <c r="A20" s="3" t="s">
        <v>81</v>
      </c>
      <c r="B20" s="12">
        <f>Acquisition_Plan!E20</f>
        <v>400000</v>
      </c>
      <c r="C20" s="12">
        <f>PVX_Detail!T11+PVX_Detail!T20+PVX_Detail!T29+PVX_Detail!T38+PVX_Detail!T47+PVX_Detail!T56+PVX_Detail!T65+PVX_Detail!T74+PVX_Detail!T83+PVX_Detail!T92+PVX_Detail!T101+PVX_Detail!T110+PVX_Detail!T119+PVX_Detail!T128+PVX_Detail!T137+PVX_Detail!T146+PVX_Detail!T155+PVX_Detail!T164+PVX_Detail!T173+PVX_Detail!T182+PVX_Detail!T191+PVX_Detail!T200+PVX_Detail!T209+PVX_Detail!T218+PVX_Detail!T227+PVX_Detail!T236+PVX_Detail!T245+PVX_Detail!T254+PVX_Detail!T263+PVX_Detail!T272+PVX_Detail!T281+PVX_Detail!T290+PVX_Detail!T299+PVX_Detail!T308+PVX_Detail!T317+PVX_Detail!T326</f>
        <v>420000</v>
      </c>
      <c r="D20" s="12">
        <f>PVX_Detail!T14+PVX_Detail!T23+PVX_Detail!T32+PVX_Detail!T41+PVX_Detail!T50+PVX_Detail!T59+PVX_Detail!T68+PVX_Detail!T77+PVX_Detail!T86+PVX_Detail!T95+PVX_Detail!T104+PVX_Detail!T113+PVX_Detail!T122+PVX_Detail!T131+PVX_Detail!T140+PVX_Detail!T149+PVX_Detail!T158+PVX_Detail!T167+PVX_Detail!T176+PVX_Detail!T185+PVX_Detail!T194+PVX_Detail!T203+PVX_Detail!T212+PVX_Detail!T221+PVX_Detail!T230+PVX_Detail!T239+PVX_Detail!T248+PVX_Detail!T257+PVX_Detail!T266+PVX_Detail!T275+PVX_Detail!T284+PVX_Detail!T293+PVX_Detail!T302+PVX_Detail!T311+PVX_Detail!T320+PVX_Detail!T329</f>
        <v>148538.2251</v>
      </c>
    </row>
    <row r="21" ht="15.75" customHeight="1">
      <c r="A21" s="3" t="s">
        <v>82</v>
      </c>
      <c r="B21" s="12">
        <f>Acquisition_Plan!E21</f>
        <v>400000</v>
      </c>
      <c r="C21" s="12">
        <f>PVX_Detail!U11+PVX_Detail!U20+PVX_Detail!U29+PVX_Detail!U38+PVX_Detail!U47+PVX_Detail!U56+PVX_Detail!U65+PVX_Detail!U74+PVX_Detail!U83+PVX_Detail!U92+PVX_Detail!U101+PVX_Detail!U110+PVX_Detail!U119+PVX_Detail!U128+PVX_Detail!U137+PVX_Detail!U146+PVX_Detail!U155+PVX_Detail!U164+PVX_Detail!U173+PVX_Detail!U182+PVX_Detail!U191+PVX_Detail!U200+PVX_Detail!U209+PVX_Detail!U218+PVX_Detail!U227+PVX_Detail!U236+PVX_Detail!U245+PVX_Detail!U254+PVX_Detail!U263+PVX_Detail!U272+PVX_Detail!U281+PVX_Detail!U290+PVX_Detail!U299+PVX_Detail!U308+PVX_Detail!U317+PVX_Detail!U326</f>
        <v>420000</v>
      </c>
      <c r="D21" s="12">
        <f>PVX_Detail!U14+PVX_Detail!U23+PVX_Detail!U32+PVX_Detail!U41+PVX_Detail!U50+PVX_Detail!U59+PVX_Detail!U68+PVX_Detail!U77+PVX_Detail!U86+PVX_Detail!U95+PVX_Detail!U104+PVX_Detail!U113+PVX_Detail!U122+PVX_Detail!U131+PVX_Detail!U140+PVX_Detail!U149+PVX_Detail!U158+PVX_Detail!U167+PVX_Detail!U176+PVX_Detail!U185+PVX_Detail!U194+PVX_Detail!U203+PVX_Detail!U212+PVX_Detail!U221+PVX_Detail!U230+PVX_Detail!U239+PVX_Detail!U248+PVX_Detail!U257+PVX_Detail!U266+PVX_Detail!U275+PVX_Detail!U284+PVX_Detail!U293+PVX_Detail!U302+PVX_Detail!U311+PVX_Detail!U320+PVX_Detail!U329</f>
        <v>159970.0423</v>
      </c>
    </row>
    <row r="22" ht="15.75" customHeight="1">
      <c r="A22" s="3" t="s">
        <v>83</v>
      </c>
      <c r="B22" s="12">
        <f>Acquisition_Plan!E22</f>
        <v>400000</v>
      </c>
      <c r="C22" s="12">
        <f>PVX_Detail!V11+PVX_Detail!V20+PVX_Detail!V29+PVX_Detail!V38+PVX_Detail!V47+PVX_Detail!V56+PVX_Detail!V65+PVX_Detail!V74+PVX_Detail!V83+PVX_Detail!V92+PVX_Detail!V101+PVX_Detail!V110+PVX_Detail!V119+PVX_Detail!V128+PVX_Detail!V137+PVX_Detail!V146+PVX_Detail!V155+PVX_Detail!V164+PVX_Detail!V173+PVX_Detail!V182+PVX_Detail!V191+PVX_Detail!V200+PVX_Detail!V209+PVX_Detail!V218+PVX_Detail!V227+PVX_Detail!V236+PVX_Detail!V245+PVX_Detail!V254+PVX_Detail!V263+PVX_Detail!V272+PVX_Detail!V281+PVX_Detail!V290+PVX_Detail!V299+PVX_Detail!V308+PVX_Detail!V317+PVX_Detail!V326</f>
        <v>420000</v>
      </c>
      <c r="D22" s="12">
        <f>PVX_Detail!V14+PVX_Detail!V23+PVX_Detail!V32+PVX_Detail!V41+PVX_Detail!V50+PVX_Detail!V59+PVX_Detail!V68+PVX_Detail!V77+PVX_Detail!V86+PVX_Detail!V95+PVX_Detail!V104+PVX_Detail!V113+PVX_Detail!V122+PVX_Detail!V131+PVX_Detail!V140+PVX_Detail!V149+PVX_Detail!V158+PVX_Detail!V167+PVX_Detail!V176+PVX_Detail!V185+PVX_Detail!V194+PVX_Detail!V203+PVX_Detail!V212+PVX_Detail!V221+PVX_Detail!V230+PVX_Detail!V239+PVX_Detail!V248+PVX_Detail!V257+PVX_Detail!V266+PVX_Detail!V275+PVX_Detail!V284+PVX_Detail!V293+PVX_Detail!V302+PVX_Detail!V311+PVX_Detail!V320+PVX_Detail!V329</f>
        <v>169972.6645</v>
      </c>
    </row>
    <row r="23" ht="15.75" customHeight="1">
      <c r="A23" s="3" t="s">
        <v>84</v>
      </c>
      <c r="B23" s="12">
        <f>Acquisition_Plan!E23</f>
        <v>400000</v>
      </c>
      <c r="C23" s="12">
        <f>PVX_Detail!W11+PVX_Detail!W20+PVX_Detail!W29+PVX_Detail!W38+PVX_Detail!W47+PVX_Detail!W56+PVX_Detail!W65+PVX_Detail!W74+PVX_Detail!W83+PVX_Detail!W92+PVX_Detail!W101+PVX_Detail!W110+PVX_Detail!W119+PVX_Detail!W128+PVX_Detail!W137+PVX_Detail!W146+PVX_Detail!W155+PVX_Detail!W164+PVX_Detail!W173+PVX_Detail!W182+PVX_Detail!W191+PVX_Detail!W200+PVX_Detail!W209+PVX_Detail!W218+PVX_Detail!W227+PVX_Detail!W236+PVX_Detail!W245+PVX_Detail!W254+PVX_Detail!W263+PVX_Detail!W272+PVX_Detail!W281+PVX_Detail!W290+PVX_Detail!W299+PVX_Detail!W308+PVX_Detail!W317+PVX_Detail!W326</f>
        <v>420000</v>
      </c>
      <c r="D23" s="12">
        <f>PVX_Detail!W14+PVX_Detail!W23+PVX_Detail!W32+PVX_Detail!W41+PVX_Detail!W50+PVX_Detail!W59+PVX_Detail!W68+PVX_Detail!W77+PVX_Detail!W86+PVX_Detail!W95+PVX_Detail!W104+PVX_Detail!W113+PVX_Detail!W122+PVX_Detail!W131+PVX_Detail!W140+PVX_Detail!W149+PVX_Detail!W158+PVX_Detail!W167+PVX_Detail!W176+PVX_Detail!W185+PVX_Detail!W194+PVX_Detail!W203+PVX_Detail!W212+PVX_Detail!W221+PVX_Detail!W230+PVX_Detail!W239+PVX_Detail!W248+PVX_Detail!W257+PVX_Detail!W266+PVX_Detail!W275+PVX_Detail!W284+PVX_Detail!W293+PVX_Detail!W302+PVX_Detail!W311+PVX_Detail!W320+PVX_Detail!W329</f>
        <v>178712.6858</v>
      </c>
    </row>
    <row r="24" ht="15.75" customHeight="1">
      <c r="A24" s="3" t="s">
        <v>85</v>
      </c>
      <c r="B24" s="12">
        <f>Acquisition_Plan!E24</f>
        <v>400000</v>
      </c>
      <c r="C24" s="12">
        <f>PVX_Detail!X11+PVX_Detail!X20+PVX_Detail!X29+PVX_Detail!X38+PVX_Detail!X47+PVX_Detail!X56+PVX_Detail!X65+PVX_Detail!X74+PVX_Detail!X83+PVX_Detail!X92+PVX_Detail!X101+PVX_Detail!X110+PVX_Detail!X119+PVX_Detail!X128+PVX_Detail!X137+PVX_Detail!X146+PVX_Detail!X155+PVX_Detail!X164+PVX_Detail!X173+PVX_Detail!X182+PVX_Detail!X191+PVX_Detail!X200+PVX_Detail!X209+PVX_Detail!X218+PVX_Detail!X227+PVX_Detail!X236+PVX_Detail!X245+PVX_Detail!X254+PVX_Detail!X263+PVX_Detail!X272+PVX_Detail!X281+PVX_Detail!X290+PVX_Detail!X299+PVX_Detail!X308+PVX_Detail!X317+PVX_Detail!X326</f>
        <v>420000</v>
      </c>
      <c r="D24" s="12">
        <f>PVX_Detail!X14+PVX_Detail!X23+PVX_Detail!X32+PVX_Detail!X41+PVX_Detail!X50+PVX_Detail!X59+PVX_Detail!X68+PVX_Detail!X77+PVX_Detail!X86+PVX_Detail!X95+PVX_Detail!X104+PVX_Detail!X113+PVX_Detail!X122+PVX_Detail!X131+PVX_Detail!X140+PVX_Detail!X149+PVX_Detail!X158+PVX_Detail!X167+PVX_Detail!X176+PVX_Detail!X185+PVX_Detail!X194+PVX_Detail!X203+PVX_Detail!X212+PVX_Detail!X221+PVX_Detail!X230+PVX_Detail!X239+PVX_Detail!X248+PVX_Detail!X257+PVX_Detail!X266+PVX_Detail!X275+PVX_Detail!X284+PVX_Detail!X293+PVX_Detail!X302+PVX_Detail!X311+PVX_Detail!X320+PVX_Detail!X329</f>
        <v>186449.3567</v>
      </c>
    </row>
    <row r="25" ht="15.75" customHeight="1">
      <c r="A25" s="3" t="s">
        <v>86</v>
      </c>
      <c r="B25" s="12">
        <f>Acquisition_Plan!E25</f>
        <v>400000</v>
      </c>
      <c r="C25" s="12">
        <f>PVX_Detail!Y11+PVX_Detail!Y20+PVX_Detail!Y29+PVX_Detail!Y38+PVX_Detail!Y47+PVX_Detail!Y56+PVX_Detail!Y65+PVX_Detail!Y74+PVX_Detail!Y83+PVX_Detail!Y92+PVX_Detail!Y101+PVX_Detail!Y110+PVX_Detail!Y119+PVX_Detail!Y128+PVX_Detail!Y137+PVX_Detail!Y146+PVX_Detail!Y155+PVX_Detail!Y164+PVX_Detail!Y173+PVX_Detail!Y182+PVX_Detail!Y191+PVX_Detail!Y200+PVX_Detail!Y209+PVX_Detail!Y218+PVX_Detail!Y227+PVX_Detail!Y236+PVX_Detail!Y245+PVX_Detail!Y254+PVX_Detail!Y263+PVX_Detail!Y272+PVX_Detail!Y281+PVX_Detail!Y290+PVX_Detail!Y299+PVX_Detail!Y308+PVX_Detail!Y317+PVX_Detail!Y326</f>
        <v>420000</v>
      </c>
      <c r="D25" s="12">
        <f>PVX_Detail!Y14+PVX_Detail!Y23+PVX_Detail!Y32+PVX_Detail!Y41+PVX_Detail!Y50+PVX_Detail!Y59+PVX_Detail!Y68+PVX_Detail!Y77+PVX_Detail!Y86+PVX_Detail!Y95+PVX_Detail!Y104+PVX_Detail!Y113+PVX_Detail!Y122+PVX_Detail!Y131+PVX_Detail!Y140+PVX_Detail!Y149+PVX_Detail!Y158+PVX_Detail!Y167+PVX_Detail!Y176+PVX_Detail!Y185+PVX_Detail!Y194+PVX_Detail!Y203+PVX_Detail!Y212+PVX_Detail!Y221+PVX_Detail!Y230+PVX_Detail!Y239+PVX_Detail!Y248+PVX_Detail!Y257+PVX_Detail!Y266+PVX_Detail!Y275+PVX_Detail!Y284+PVX_Detail!Y293+PVX_Detail!Y302+PVX_Detail!Y311+PVX_Detail!Y320+PVX_Detail!Y329</f>
        <v>193237.5</v>
      </c>
    </row>
    <row r="26" ht="15.75" customHeight="1">
      <c r="A26" s="3" t="s">
        <v>87</v>
      </c>
      <c r="B26" s="12">
        <f>Acquisition_Plan!E26</f>
        <v>400000</v>
      </c>
      <c r="C26" s="12">
        <f>PVX_Detail!Z11+PVX_Detail!Z20+PVX_Detail!Z29+PVX_Detail!Z38+PVX_Detail!Z47+PVX_Detail!Z56+PVX_Detail!Z65+PVX_Detail!Z74+PVX_Detail!Z83+PVX_Detail!Z92+PVX_Detail!Z101+PVX_Detail!Z110+PVX_Detail!Z119+PVX_Detail!Z128+PVX_Detail!Z137+PVX_Detail!Z146+PVX_Detail!Z155+PVX_Detail!Z164+PVX_Detail!Z173+PVX_Detail!Z182+PVX_Detail!Z191+PVX_Detail!Z200+PVX_Detail!Z209+PVX_Detail!Z218+PVX_Detail!Z227+PVX_Detail!Z236+PVX_Detail!Z245+PVX_Detail!Z254+PVX_Detail!Z263+PVX_Detail!Z272+PVX_Detail!Z281+PVX_Detail!Z290+PVX_Detail!Z299+PVX_Detail!Z308+PVX_Detail!Z317+PVX_Detail!Z326</f>
        <v>420000</v>
      </c>
      <c r="D26" s="12">
        <f>PVX_Detail!Z14+PVX_Detail!Z23+PVX_Detail!Z32+PVX_Detail!Z41+PVX_Detail!Z50+PVX_Detail!Z59+PVX_Detail!Z68+PVX_Detail!Z77+PVX_Detail!Z86+PVX_Detail!Z95+PVX_Detail!Z104+PVX_Detail!Z113+PVX_Detail!Z122+PVX_Detail!Z131+PVX_Detail!Z140+PVX_Detail!Z149+PVX_Detail!Z158+PVX_Detail!Z167+PVX_Detail!Z176+PVX_Detail!Z185+PVX_Detail!Z194+PVX_Detail!Z203+PVX_Detail!Z212+PVX_Detail!Z221+PVX_Detail!Z230+PVX_Detail!Z239+PVX_Detail!Z248+PVX_Detail!Z257+PVX_Detail!Z266+PVX_Detail!Z275+PVX_Detail!Z284+PVX_Detail!Z293+PVX_Detail!Z302+PVX_Detail!Z311+PVX_Detail!Z320+PVX_Detail!Z329</f>
        <v>199275</v>
      </c>
    </row>
    <row r="27" ht="15.75" customHeight="1">
      <c r="A27" s="3" t="s">
        <v>88</v>
      </c>
      <c r="B27" s="12">
        <f>Acquisition_Plan!E27</f>
        <v>400000</v>
      </c>
      <c r="C27" s="12">
        <f>PVX_Detail!AA11+PVX_Detail!AA20+PVX_Detail!AA29+PVX_Detail!AA38+PVX_Detail!AA47+PVX_Detail!AA56+PVX_Detail!AA65+PVX_Detail!AA74+PVX_Detail!AA83+PVX_Detail!AA92+PVX_Detail!AA101+PVX_Detail!AA110+PVX_Detail!AA119+PVX_Detail!AA128+PVX_Detail!AA137+PVX_Detail!AA146+PVX_Detail!AA155+PVX_Detail!AA164+PVX_Detail!AA173+PVX_Detail!AA182+PVX_Detail!AA191+PVX_Detail!AA200+PVX_Detail!AA209+PVX_Detail!AA218+PVX_Detail!AA227+PVX_Detail!AA236+PVX_Detail!AA245+PVX_Detail!AA254+PVX_Detail!AA263+PVX_Detail!AA272+PVX_Detail!AA281+PVX_Detail!AA290+PVX_Detail!AA299+PVX_Detail!AA308+PVX_Detail!AA317+PVX_Detail!AA326</f>
        <v>420000</v>
      </c>
      <c r="D27" s="12">
        <f>PVX_Detail!AA14+PVX_Detail!AA23+PVX_Detail!AA32+PVX_Detail!AA41+PVX_Detail!AA50+PVX_Detail!AA59+PVX_Detail!AA68+PVX_Detail!AA77+PVX_Detail!AA86+PVX_Detail!AA95+PVX_Detail!AA104+PVX_Detail!AA113+PVX_Detail!AA122+PVX_Detail!AA131+PVX_Detail!AA140+PVX_Detail!AA149+PVX_Detail!AA158+PVX_Detail!AA167+PVX_Detail!AA176+PVX_Detail!AA185+PVX_Detail!AA194+PVX_Detail!AA203+PVX_Detail!AA212+PVX_Detail!AA221+PVX_Detail!AA230+PVX_Detail!AA239+PVX_Detail!AA248+PVX_Detail!AA257+PVX_Detail!AA266+PVX_Detail!AA275+PVX_Detail!AA284+PVX_Detail!AA293+PVX_Detail!AA302+PVX_Detail!AA311+PVX_Detail!AA320+PVX_Detail!AA329</f>
        <v>204018.75</v>
      </c>
    </row>
    <row r="28" ht="15.75" customHeight="1">
      <c r="A28" s="3" t="s">
        <v>89</v>
      </c>
      <c r="B28" s="12">
        <f>Acquisition_Plan!E28</f>
        <v>400000</v>
      </c>
      <c r="C28" s="12">
        <f>PVX_Detail!AB11+PVX_Detail!AB20+PVX_Detail!AB29+PVX_Detail!AB38+PVX_Detail!AB47+PVX_Detail!AB56+PVX_Detail!AB65+PVX_Detail!AB74+PVX_Detail!AB83+PVX_Detail!AB92+PVX_Detail!AB101+PVX_Detail!AB110+PVX_Detail!AB119+PVX_Detail!AB128+PVX_Detail!AB137+PVX_Detail!AB146+PVX_Detail!AB155+PVX_Detail!AB164+PVX_Detail!AB173+PVX_Detail!AB182+PVX_Detail!AB191+PVX_Detail!AB200+PVX_Detail!AB209+PVX_Detail!AB218+PVX_Detail!AB227+PVX_Detail!AB236+PVX_Detail!AB245+PVX_Detail!AB254+PVX_Detail!AB263+PVX_Detail!AB272+PVX_Detail!AB281+PVX_Detail!AB290+PVX_Detail!AB299+PVX_Detail!AB308+PVX_Detail!AB317+PVX_Detail!AB326</f>
        <v>420000</v>
      </c>
      <c r="D28" s="12">
        <f>PVX_Detail!AB14+PVX_Detail!AB23+PVX_Detail!AB32+PVX_Detail!AB41+PVX_Detail!AB50+PVX_Detail!AB59+PVX_Detail!AB68+PVX_Detail!AB77+PVX_Detail!AB86+PVX_Detail!AB95+PVX_Detail!AB104+PVX_Detail!AB113+PVX_Detail!AB122+PVX_Detail!AB131+PVX_Detail!AB140+PVX_Detail!AB149+PVX_Detail!AB158+PVX_Detail!AB167+PVX_Detail!AB176+PVX_Detail!AB185+PVX_Detail!AB194+PVX_Detail!AB203+PVX_Detail!AB212+PVX_Detail!AB221+PVX_Detail!AB230+PVX_Detail!AB239+PVX_Detail!AB248+PVX_Detail!AB257+PVX_Detail!AB266+PVX_Detail!AB275+PVX_Detail!AB284+PVX_Detail!AB293+PVX_Detail!AB302+PVX_Detail!AB311+PVX_Detail!AB320+PVX_Detail!AB329</f>
        <v>208762.5</v>
      </c>
    </row>
    <row r="29" ht="15.75" customHeight="1">
      <c r="A29" s="3" t="s">
        <v>90</v>
      </c>
      <c r="B29" s="12">
        <f>Acquisition_Plan!E29</f>
        <v>400000</v>
      </c>
      <c r="C29" s="12">
        <f>PVX_Detail!AC11+PVX_Detail!AC20+PVX_Detail!AC29+PVX_Detail!AC38+PVX_Detail!AC47+PVX_Detail!AC56+PVX_Detail!AC65+PVX_Detail!AC74+PVX_Detail!AC83+PVX_Detail!AC92+PVX_Detail!AC101+PVX_Detail!AC110+PVX_Detail!AC119+PVX_Detail!AC128+PVX_Detail!AC137+PVX_Detail!AC146+PVX_Detail!AC155+PVX_Detail!AC164+PVX_Detail!AC173+PVX_Detail!AC182+PVX_Detail!AC191+PVX_Detail!AC200+PVX_Detail!AC209+PVX_Detail!AC218+PVX_Detail!AC227+PVX_Detail!AC236+PVX_Detail!AC245+PVX_Detail!AC254+PVX_Detail!AC263+PVX_Detail!AC272+PVX_Detail!AC281+PVX_Detail!AC290+PVX_Detail!AC299+PVX_Detail!AC308+PVX_Detail!AC317+PVX_Detail!AC326</f>
        <v>420000</v>
      </c>
      <c r="D29" s="12">
        <f>PVX_Detail!AC14+PVX_Detail!AC23+PVX_Detail!AC32+PVX_Detail!AC41+PVX_Detail!AC50+PVX_Detail!AC59+PVX_Detail!AC68+PVX_Detail!AC77+PVX_Detail!AC86+PVX_Detail!AC95+PVX_Detail!AC104+PVX_Detail!AC113+PVX_Detail!AC122+PVX_Detail!AC131+PVX_Detail!AC140+PVX_Detail!AC149+PVX_Detail!AC158+PVX_Detail!AC167+PVX_Detail!AC176+PVX_Detail!AC185+PVX_Detail!AC194+PVX_Detail!AC203+PVX_Detail!AC212+PVX_Detail!AC221+PVX_Detail!AC230+PVX_Detail!AC239+PVX_Detail!AC248+PVX_Detail!AC257+PVX_Detail!AC266+PVX_Detail!AC275+PVX_Detail!AC284+PVX_Detail!AC293+PVX_Detail!AC302+PVX_Detail!AC311+PVX_Detail!AC320+PVX_Detail!AC329</f>
        <v>212212.5</v>
      </c>
    </row>
    <row r="30" ht="15.75" customHeight="1">
      <c r="A30" s="3" t="s">
        <v>91</v>
      </c>
      <c r="B30" s="12">
        <f>Acquisition_Plan!E30</f>
        <v>400000</v>
      </c>
      <c r="C30" s="12">
        <f>PVX_Detail!AD11+PVX_Detail!AD20+PVX_Detail!AD29+PVX_Detail!AD38+PVX_Detail!AD47+PVX_Detail!AD56+PVX_Detail!AD65+PVX_Detail!AD74+PVX_Detail!AD83+PVX_Detail!AD92+PVX_Detail!AD101+PVX_Detail!AD110+PVX_Detail!AD119+PVX_Detail!AD128+PVX_Detail!AD137+PVX_Detail!AD146+PVX_Detail!AD155+PVX_Detail!AD164+PVX_Detail!AD173+PVX_Detail!AD182+PVX_Detail!AD191+PVX_Detail!AD200+PVX_Detail!AD209+PVX_Detail!AD218+PVX_Detail!AD227+PVX_Detail!AD236+PVX_Detail!AD245+PVX_Detail!AD254+PVX_Detail!AD263+PVX_Detail!AD272+PVX_Detail!AD281+PVX_Detail!AD290+PVX_Detail!AD299+PVX_Detail!AD308+PVX_Detail!AD317+PVX_Detail!AD326</f>
        <v>420000</v>
      </c>
      <c r="D30" s="12">
        <f>PVX_Detail!AD14+PVX_Detail!AD23+PVX_Detail!AD32+PVX_Detail!AD41+PVX_Detail!AD50+PVX_Detail!AD59+PVX_Detail!AD68+PVX_Detail!AD77+PVX_Detail!AD86+PVX_Detail!AD95+PVX_Detail!AD104+PVX_Detail!AD113+PVX_Detail!AD122+PVX_Detail!AD131+PVX_Detail!AD140+PVX_Detail!AD149+PVX_Detail!AD158+PVX_Detail!AD167+PVX_Detail!AD176+PVX_Detail!AD185+PVX_Detail!AD194+PVX_Detail!AD203+PVX_Detail!AD212+PVX_Detail!AD221+PVX_Detail!AD230+PVX_Detail!AD239+PVX_Detail!AD248+PVX_Detail!AD257+PVX_Detail!AD266+PVX_Detail!AD275+PVX_Detail!AD284+PVX_Detail!AD293+PVX_Detail!AD302+PVX_Detail!AD311+PVX_Detail!AD320+PVX_Detail!AD329</f>
        <v>215662.5</v>
      </c>
    </row>
    <row r="31" ht="15.75" customHeight="1">
      <c r="A31" s="3" t="s">
        <v>92</v>
      </c>
      <c r="B31" s="12">
        <f>Acquisition_Plan!E31</f>
        <v>400000</v>
      </c>
      <c r="C31" s="12">
        <f>PVX_Detail!AE11+PVX_Detail!AE20+PVX_Detail!AE29+PVX_Detail!AE38+PVX_Detail!AE47+PVX_Detail!AE56+PVX_Detail!AE65+PVX_Detail!AE74+PVX_Detail!AE83+PVX_Detail!AE92+PVX_Detail!AE101+PVX_Detail!AE110+PVX_Detail!AE119+PVX_Detail!AE128+PVX_Detail!AE137+PVX_Detail!AE146+PVX_Detail!AE155+PVX_Detail!AE164+PVX_Detail!AE173+PVX_Detail!AE182+PVX_Detail!AE191+PVX_Detail!AE200+PVX_Detail!AE209+PVX_Detail!AE218+PVX_Detail!AE227+PVX_Detail!AE236+PVX_Detail!AE245+PVX_Detail!AE254+PVX_Detail!AE263+PVX_Detail!AE272+PVX_Detail!AE281+PVX_Detail!AE290+PVX_Detail!AE299+PVX_Detail!AE308+PVX_Detail!AE317+PVX_Detail!AE326</f>
        <v>420000</v>
      </c>
      <c r="D31" s="12">
        <f>PVX_Detail!AE14+PVX_Detail!AE23+PVX_Detail!AE32+PVX_Detail!AE41+PVX_Detail!AE50+PVX_Detail!AE59+PVX_Detail!AE68+PVX_Detail!AE77+PVX_Detail!AE86+PVX_Detail!AE95+PVX_Detail!AE104+PVX_Detail!AE113+PVX_Detail!AE122+PVX_Detail!AE131+PVX_Detail!AE140+PVX_Detail!AE149+PVX_Detail!AE158+PVX_Detail!AE167+PVX_Detail!AE176+PVX_Detail!AE185+PVX_Detail!AE194+PVX_Detail!AE203+PVX_Detail!AE212+PVX_Detail!AE221+PVX_Detail!AE230+PVX_Detail!AE239+PVX_Detail!AE248+PVX_Detail!AE257+PVX_Detail!AE266+PVX_Detail!AE275+PVX_Detail!AE284+PVX_Detail!AE293+PVX_Detail!AE302+PVX_Detail!AE311+PVX_Detail!AE320+PVX_Detail!AE329</f>
        <v>219112.5</v>
      </c>
    </row>
    <row r="32" ht="15.75" customHeight="1">
      <c r="A32" s="3" t="s">
        <v>93</v>
      </c>
      <c r="B32" s="12">
        <f>Acquisition_Plan!E32</f>
        <v>400000</v>
      </c>
      <c r="C32" s="12">
        <f>PVX_Detail!AF11+PVX_Detail!AF20+PVX_Detail!AF29+PVX_Detail!AF38+PVX_Detail!AF47+PVX_Detail!AF56+PVX_Detail!AF65+PVX_Detail!AF74+PVX_Detail!AF83+PVX_Detail!AF92+PVX_Detail!AF101+PVX_Detail!AF110+PVX_Detail!AF119+PVX_Detail!AF128+PVX_Detail!AF137+PVX_Detail!AF146+PVX_Detail!AF155+PVX_Detail!AF164+PVX_Detail!AF173+PVX_Detail!AF182+PVX_Detail!AF191+PVX_Detail!AF200+PVX_Detail!AF209+PVX_Detail!AF218+PVX_Detail!AF227+PVX_Detail!AF236+PVX_Detail!AF245+PVX_Detail!AF254+PVX_Detail!AF263+PVX_Detail!AF272+PVX_Detail!AF281+PVX_Detail!AF290+PVX_Detail!AF299+PVX_Detail!AF308+PVX_Detail!AF317+PVX_Detail!AF326</f>
        <v>420000</v>
      </c>
      <c r="D32" s="12">
        <f>PVX_Detail!AF14+PVX_Detail!AF23+PVX_Detail!AF32+PVX_Detail!AF41+PVX_Detail!AF50+PVX_Detail!AF59+PVX_Detail!AF68+PVX_Detail!AF77+PVX_Detail!AF86+PVX_Detail!AF95+PVX_Detail!AF104+PVX_Detail!AF113+PVX_Detail!AF122+PVX_Detail!AF131+PVX_Detail!AF140+PVX_Detail!AF149+PVX_Detail!AF158+PVX_Detail!AF167+PVX_Detail!AF176+PVX_Detail!AF185+PVX_Detail!AF194+PVX_Detail!AF203+PVX_Detail!AF212+PVX_Detail!AF221+PVX_Detail!AF230+PVX_Detail!AF239+PVX_Detail!AF248+PVX_Detail!AF257+PVX_Detail!AF266+PVX_Detail!AF275+PVX_Detail!AF284+PVX_Detail!AF293+PVX_Detail!AF302+PVX_Detail!AF311+PVX_Detail!AF320+PVX_Detail!AF329</f>
        <v>222562.5</v>
      </c>
    </row>
    <row r="33" ht="15.75" customHeight="1">
      <c r="A33" s="3" t="s">
        <v>94</v>
      </c>
      <c r="B33" s="12">
        <f>Acquisition_Plan!E33</f>
        <v>400000</v>
      </c>
      <c r="C33" s="12">
        <f>PVX_Detail!AG11+PVX_Detail!AG20+PVX_Detail!AG29+PVX_Detail!AG38+PVX_Detail!AG47+PVX_Detail!AG56+PVX_Detail!AG65+PVX_Detail!AG74+PVX_Detail!AG83+PVX_Detail!AG92+PVX_Detail!AG101+PVX_Detail!AG110+PVX_Detail!AG119+PVX_Detail!AG128+PVX_Detail!AG137+PVX_Detail!AG146+PVX_Detail!AG155+PVX_Detail!AG164+PVX_Detail!AG173+PVX_Detail!AG182+PVX_Detail!AG191+PVX_Detail!AG200+PVX_Detail!AG209+PVX_Detail!AG218+PVX_Detail!AG227+PVX_Detail!AG236+PVX_Detail!AG245+PVX_Detail!AG254+PVX_Detail!AG263+PVX_Detail!AG272+PVX_Detail!AG281+PVX_Detail!AG290+PVX_Detail!AG299+PVX_Detail!AG308+PVX_Detail!AG317+PVX_Detail!AG326</f>
        <v>420000</v>
      </c>
      <c r="D33" s="12">
        <f>PVX_Detail!AG14+PVX_Detail!AG23+PVX_Detail!AG32+PVX_Detail!AG41+PVX_Detail!AG50+PVX_Detail!AG59+PVX_Detail!AG68+PVX_Detail!AG77+PVX_Detail!AG86+PVX_Detail!AG95+PVX_Detail!AG104+PVX_Detail!AG113+PVX_Detail!AG122+PVX_Detail!AG131+PVX_Detail!AG140+PVX_Detail!AG149+PVX_Detail!AG158+PVX_Detail!AG167+PVX_Detail!AG176+PVX_Detail!AG185+PVX_Detail!AG194+PVX_Detail!AG203+PVX_Detail!AG212+PVX_Detail!AG221+PVX_Detail!AG230+PVX_Detail!AG239+PVX_Detail!AG248+PVX_Detail!AG257+PVX_Detail!AG266+PVX_Detail!AG275+PVX_Detail!AG284+PVX_Detail!AG293+PVX_Detail!AG302+PVX_Detail!AG311+PVX_Detail!AG320+PVX_Detail!AG329</f>
        <v>226012.5</v>
      </c>
    </row>
    <row r="34" ht="15.75" customHeight="1">
      <c r="A34" s="3" t="s">
        <v>95</v>
      </c>
      <c r="B34" s="12">
        <f>Acquisition_Plan!E34</f>
        <v>400000</v>
      </c>
      <c r="C34" s="12">
        <f>PVX_Detail!AH11+PVX_Detail!AH20+PVX_Detail!AH29+PVX_Detail!AH38+PVX_Detail!AH47+PVX_Detail!AH56+PVX_Detail!AH65+PVX_Detail!AH74+PVX_Detail!AH83+PVX_Detail!AH92+PVX_Detail!AH101+PVX_Detail!AH110+PVX_Detail!AH119+PVX_Detail!AH128+PVX_Detail!AH137+PVX_Detail!AH146+PVX_Detail!AH155+PVX_Detail!AH164+PVX_Detail!AH173+PVX_Detail!AH182+PVX_Detail!AH191+PVX_Detail!AH200+PVX_Detail!AH209+PVX_Detail!AH218+PVX_Detail!AH227+PVX_Detail!AH236+PVX_Detail!AH245+PVX_Detail!AH254+PVX_Detail!AH263+PVX_Detail!AH272+PVX_Detail!AH281+PVX_Detail!AH290+PVX_Detail!AH299+PVX_Detail!AH308+PVX_Detail!AH317+PVX_Detail!AH326</f>
        <v>420000</v>
      </c>
      <c r="D34" s="12">
        <f>PVX_Detail!AH14+PVX_Detail!AH23+PVX_Detail!AH32+PVX_Detail!AH41+PVX_Detail!AH50+PVX_Detail!AH59+PVX_Detail!AH68+PVX_Detail!AH77+PVX_Detail!AH86+PVX_Detail!AH95+PVX_Detail!AH104+PVX_Detail!AH113+PVX_Detail!AH122+PVX_Detail!AH131+PVX_Detail!AH140+PVX_Detail!AH149+PVX_Detail!AH158+PVX_Detail!AH167+PVX_Detail!AH176+PVX_Detail!AH185+PVX_Detail!AH194+PVX_Detail!AH203+PVX_Detail!AH212+PVX_Detail!AH221+PVX_Detail!AH230+PVX_Detail!AH239+PVX_Detail!AH248+PVX_Detail!AH257+PVX_Detail!AH266+PVX_Detail!AH275+PVX_Detail!AH284+PVX_Detail!AH293+PVX_Detail!AH302+PVX_Detail!AH311+PVX_Detail!AH320+PVX_Detail!AH329</f>
        <v>229462.5</v>
      </c>
    </row>
    <row r="35" ht="15.75" customHeight="1">
      <c r="A35" s="3" t="s">
        <v>96</v>
      </c>
      <c r="B35" s="12">
        <f>Acquisition_Plan!E35</f>
        <v>400000</v>
      </c>
      <c r="C35" s="12">
        <f>PVX_Detail!AI11+PVX_Detail!AI20+PVX_Detail!AI29+PVX_Detail!AI38+PVX_Detail!AI47+PVX_Detail!AI56+PVX_Detail!AI65+PVX_Detail!AI74+PVX_Detail!AI83+PVX_Detail!AI92+PVX_Detail!AI101+PVX_Detail!AI110+PVX_Detail!AI119+PVX_Detail!AI128+PVX_Detail!AI137+PVX_Detail!AI146+PVX_Detail!AI155+PVX_Detail!AI164+PVX_Detail!AI173+PVX_Detail!AI182+PVX_Detail!AI191+PVX_Detail!AI200+PVX_Detail!AI209+PVX_Detail!AI218+PVX_Detail!AI227+PVX_Detail!AI236+PVX_Detail!AI245+PVX_Detail!AI254+PVX_Detail!AI263+PVX_Detail!AI272+PVX_Detail!AI281+PVX_Detail!AI290+PVX_Detail!AI299+PVX_Detail!AI308+PVX_Detail!AI317+PVX_Detail!AI326</f>
        <v>420000</v>
      </c>
      <c r="D35" s="12">
        <f>PVX_Detail!AI14+PVX_Detail!AI23+PVX_Detail!AI32+PVX_Detail!AI41+PVX_Detail!AI50+PVX_Detail!AI59+PVX_Detail!AI68+PVX_Detail!AI77+PVX_Detail!AI86+PVX_Detail!AI95+PVX_Detail!AI104+PVX_Detail!AI113+PVX_Detail!AI122+PVX_Detail!AI131+PVX_Detail!AI140+PVX_Detail!AI149+PVX_Detail!AI158+PVX_Detail!AI167+PVX_Detail!AI176+PVX_Detail!AI185+PVX_Detail!AI194+PVX_Detail!AI203+PVX_Detail!AI212+PVX_Detail!AI221+PVX_Detail!AI230+PVX_Detail!AI239+PVX_Detail!AI248+PVX_Detail!AI257+PVX_Detail!AI266+PVX_Detail!AI275+PVX_Detail!AI284+PVX_Detail!AI293+PVX_Detail!AI302+PVX_Detail!AI311+PVX_Detail!AI320+PVX_Detail!AI329</f>
        <v>232912.5</v>
      </c>
    </row>
    <row r="36" ht="15.75" customHeight="1">
      <c r="A36" s="3" t="s">
        <v>97</v>
      </c>
      <c r="B36" s="12">
        <f>Acquisition_Plan!E36</f>
        <v>400000</v>
      </c>
      <c r="C36" s="12">
        <f>PVX_Detail!AJ11+PVX_Detail!AJ20+PVX_Detail!AJ29+PVX_Detail!AJ38+PVX_Detail!AJ47+PVX_Detail!AJ56+PVX_Detail!AJ65+PVX_Detail!AJ74+PVX_Detail!AJ83+PVX_Detail!AJ92+PVX_Detail!AJ101+PVX_Detail!AJ110+PVX_Detail!AJ119+PVX_Detail!AJ128+PVX_Detail!AJ137+PVX_Detail!AJ146+PVX_Detail!AJ155+PVX_Detail!AJ164+PVX_Detail!AJ173+PVX_Detail!AJ182+PVX_Detail!AJ191+PVX_Detail!AJ200+PVX_Detail!AJ209+PVX_Detail!AJ218+PVX_Detail!AJ227+PVX_Detail!AJ236+PVX_Detail!AJ245+PVX_Detail!AJ254+PVX_Detail!AJ263+PVX_Detail!AJ272+PVX_Detail!AJ281+PVX_Detail!AJ290+PVX_Detail!AJ299+PVX_Detail!AJ308+PVX_Detail!AJ317+PVX_Detail!AJ326</f>
        <v>420000</v>
      </c>
      <c r="D36" s="12">
        <f>PVX_Detail!AJ14+PVX_Detail!AJ23+PVX_Detail!AJ32+PVX_Detail!AJ41+PVX_Detail!AJ50+PVX_Detail!AJ59+PVX_Detail!AJ68+PVX_Detail!AJ77+PVX_Detail!AJ86+PVX_Detail!AJ95+PVX_Detail!AJ104+PVX_Detail!AJ113+PVX_Detail!AJ122+PVX_Detail!AJ131+PVX_Detail!AJ140+PVX_Detail!AJ149+PVX_Detail!AJ158+PVX_Detail!AJ167+PVX_Detail!AJ176+PVX_Detail!AJ185+PVX_Detail!AJ194+PVX_Detail!AJ203+PVX_Detail!AJ212+PVX_Detail!AJ221+PVX_Detail!AJ230+PVX_Detail!AJ239+PVX_Detail!AJ248+PVX_Detail!AJ257+PVX_Detail!AJ266+PVX_Detail!AJ275+PVX_Detail!AJ284+PVX_Detail!AJ293+PVX_Detail!AJ302+PVX_Detail!AJ311+PVX_Detail!AJ320+PVX_Detail!AJ329</f>
        <v>236362.5</v>
      </c>
    </row>
    <row r="37" ht="15.75" customHeight="1">
      <c r="A37" s="3" t="s">
        <v>98</v>
      </c>
      <c r="B37" s="12">
        <f>Acquisition_Plan!E37</f>
        <v>400000</v>
      </c>
      <c r="C37" s="12">
        <f>PVX_Detail!AK11+PVX_Detail!AK20+PVX_Detail!AK29+PVX_Detail!AK38+PVX_Detail!AK47+PVX_Detail!AK56+PVX_Detail!AK65+PVX_Detail!AK74+PVX_Detail!AK83+PVX_Detail!AK92+PVX_Detail!AK101+PVX_Detail!AK110+PVX_Detail!AK119+PVX_Detail!AK128+PVX_Detail!AK137+PVX_Detail!AK146+PVX_Detail!AK155+PVX_Detail!AK164+PVX_Detail!AK173+PVX_Detail!AK182+PVX_Detail!AK191+PVX_Detail!AK200+PVX_Detail!AK209+PVX_Detail!AK218+PVX_Detail!AK227+PVX_Detail!AK236+PVX_Detail!AK245+PVX_Detail!AK254+PVX_Detail!AK263+PVX_Detail!AK272+PVX_Detail!AK281+PVX_Detail!AK290+PVX_Detail!AK299+PVX_Detail!AK308+PVX_Detail!AK317+PVX_Detail!AK326</f>
        <v>420000</v>
      </c>
      <c r="D37" s="12">
        <f>PVX_Detail!AK14+PVX_Detail!AK23+PVX_Detail!AK32+PVX_Detail!AK41+PVX_Detail!AK50+PVX_Detail!AK59+PVX_Detail!AK68+PVX_Detail!AK77+PVX_Detail!AK86+PVX_Detail!AK95+PVX_Detail!AK104+PVX_Detail!AK113+PVX_Detail!AK122+PVX_Detail!AK131+PVX_Detail!AK140+PVX_Detail!AK149+PVX_Detail!AK158+PVX_Detail!AK167+PVX_Detail!AK176+PVX_Detail!AK185+PVX_Detail!AK194+PVX_Detail!AK203+PVX_Detail!AK212+PVX_Detail!AK221+PVX_Detail!AK230+PVX_Detail!AK239+PVX_Detail!AK248+PVX_Detail!AK257+PVX_Detail!AK266+PVX_Detail!AK275+PVX_Detail!AK284+PVX_Detail!AK293+PVX_Detail!AK302+PVX_Detail!AK311+PVX_Detail!AK320+PVX_Detail!AK329</f>
        <v>239812.5</v>
      </c>
    </row>
    <row r="38" ht="15.75" customHeight="1">
      <c r="A38" s="3" t="s">
        <v>99</v>
      </c>
      <c r="B38" s="12">
        <f>Acquisition_Plan!E38</f>
        <v>400000</v>
      </c>
      <c r="C38" s="12">
        <f>PVX_Detail!AL11+PVX_Detail!AL20+PVX_Detail!AL29+PVX_Detail!AL38+PVX_Detail!AL47+PVX_Detail!AL56+PVX_Detail!AL65+PVX_Detail!AL74+PVX_Detail!AL83+PVX_Detail!AL92+PVX_Detail!AL101+PVX_Detail!AL110+PVX_Detail!AL119+PVX_Detail!AL128+PVX_Detail!AL137+PVX_Detail!AL146+PVX_Detail!AL155+PVX_Detail!AL164+PVX_Detail!AL173+PVX_Detail!AL182+PVX_Detail!AL191+PVX_Detail!AL200+PVX_Detail!AL209+PVX_Detail!AL218+PVX_Detail!AL227+PVX_Detail!AL236+PVX_Detail!AL245+PVX_Detail!AL254+PVX_Detail!AL263+PVX_Detail!AL272+PVX_Detail!AL281+PVX_Detail!AL290+PVX_Detail!AL299+PVX_Detail!AL308+PVX_Detail!AL317+PVX_Detail!AL326</f>
        <v>420000</v>
      </c>
      <c r="D38" s="12">
        <f>PVX_Detail!AL14+PVX_Detail!AL23+PVX_Detail!AL32+PVX_Detail!AL41+PVX_Detail!AL50+PVX_Detail!AL59+PVX_Detail!AL68+PVX_Detail!AL77+PVX_Detail!AL86+PVX_Detail!AL95+PVX_Detail!AL104+PVX_Detail!AL113+PVX_Detail!AL122+PVX_Detail!AL131+PVX_Detail!AL140+PVX_Detail!AL149+PVX_Detail!AL158+PVX_Detail!AL167+PVX_Detail!AL176+PVX_Detail!AL185+PVX_Detail!AL194+PVX_Detail!AL203+PVX_Detail!AL212+PVX_Detail!AL221+PVX_Detail!AL230+PVX_Detail!AL239+PVX_Detail!AL248+PVX_Detail!AL257+PVX_Detail!AL266+PVX_Detail!AL275+PVX_Detail!AL284+PVX_Detail!AL293+PVX_Detail!AL302+PVX_Detail!AL311+PVX_Detail!AL320+PVX_Detail!AL329</f>
        <v>243262.5</v>
      </c>
    </row>
    <row r="39" ht="15.75" customHeight="1">
      <c r="A39" s="3" t="s">
        <v>100</v>
      </c>
      <c r="B39" s="12">
        <f>Acquisition_Plan!E39</f>
        <v>400000</v>
      </c>
      <c r="C39" s="12">
        <f>PVX_Detail!AM11+PVX_Detail!AM20+PVX_Detail!AM29+PVX_Detail!AM38+PVX_Detail!AM47+PVX_Detail!AM56+PVX_Detail!AM65+PVX_Detail!AM74+PVX_Detail!AM83+PVX_Detail!AM92+PVX_Detail!AM101+PVX_Detail!AM110+PVX_Detail!AM119+PVX_Detail!AM128+PVX_Detail!AM137+PVX_Detail!AM146+PVX_Detail!AM155+PVX_Detail!AM164+PVX_Detail!AM173+PVX_Detail!AM182+PVX_Detail!AM191+PVX_Detail!AM200+PVX_Detail!AM209+PVX_Detail!AM218+PVX_Detail!AM227+PVX_Detail!AM236+PVX_Detail!AM245+PVX_Detail!AM254+PVX_Detail!AM263+PVX_Detail!AM272+PVX_Detail!AM281+PVX_Detail!AM290+PVX_Detail!AM299+PVX_Detail!AM308+PVX_Detail!AM317+PVX_Detail!AM326</f>
        <v>420000</v>
      </c>
      <c r="D39" s="12">
        <f>PVX_Detail!AM14+PVX_Detail!AM23+PVX_Detail!AM32+PVX_Detail!AM41+PVX_Detail!AM50+PVX_Detail!AM59+PVX_Detail!AM68+PVX_Detail!AM77+PVX_Detail!AM86+PVX_Detail!AM95+PVX_Detail!AM104+PVX_Detail!AM113+PVX_Detail!AM122+PVX_Detail!AM131+PVX_Detail!AM140+PVX_Detail!AM149+PVX_Detail!AM158+PVX_Detail!AM167+PVX_Detail!AM176+PVX_Detail!AM185+PVX_Detail!AM194+PVX_Detail!AM203+PVX_Detail!AM212+PVX_Detail!AM221+PVX_Detail!AM230+PVX_Detail!AM239+PVX_Detail!AM248+PVX_Detail!AM257+PVX_Detail!AM266+PVX_Detail!AM275+PVX_Detail!AM284+PVX_Detail!AM293+PVX_Detail!AM302+PVX_Detail!AM311+PVX_Detail!AM320+PVX_Detail!AM329</f>
        <v>246712.5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29"/>
    <col customWidth="1" min="2" max="9" width="10.0"/>
    <col customWidth="1" min="10" max="10" width="9.14"/>
    <col customWidth="1" min="11" max="11" width="11.0"/>
    <col customWidth="1" min="12" max="13" width="10.0"/>
    <col customWidth="1" min="14" max="14" width="13.14"/>
    <col customWidth="1" min="15" max="15" width="11.0"/>
    <col customWidth="1" min="16" max="22" width="10.0"/>
    <col customWidth="1" min="23" max="26" width="8.71"/>
  </cols>
  <sheetData>
    <row r="1">
      <c r="A1" s="8" t="s">
        <v>157</v>
      </c>
    </row>
    <row r="2">
      <c r="A2" s="3" t="s">
        <v>158</v>
      </c>
    </row>
    <row r="4">
      <c r="A4" s="9" t="s">
        <v>34</v>
      </c>
      <c r="B4" s="9" t="s">
        <v>159</v>
      </c>
      <c r="C4" s="9" t="s">
        <v>160</v>
      </c>
      <c r="D4" s="9" t="s">
        <v>161</v>
      </c>
      <c r="E4" s="9" t="s">
        <v>162</v>
      </c>
      <c r="F4" s="9" t="s">
        <v>163</v>
      </c>
      <c r="G4" s="9" t="s">
        <v>164</v>
      </c>
      <c r="H4" s="9" t="s">
        <v>165</v>
      </c>
      <c r="I4" s="9" t="s">
        <v>145</v>
      </c>
      <c r="J4" s="9" t="s">
        <v>166</v>
      </c>
      <c r="K4" s="9" t="s">
        <v>167</v>
      </c>
      <c r="L4" s="9" t="s">
        <v>168</v>
      </c>
      <c r="M4" s="9" t="s">
        <v>169</v>
      </c>
      <c r="N4" s="9" t="s">
        <v>170</v>
      </c>
      <c r="O4" s="9" t="s">
        <v>171</v>
      </c>
      <c r="P4" s="9" t="s">
        <v>172</v>
      </c>
      <c r="Q4" s="9" t="s">
        <v>173</v>
      </c>
      <c r="R4" s="9" t="s">
        <v>174</v>
      </c>
      <c r="S4" s="9" t="s">
        <v>175</v>
      </c>
      <c r="T4" s="9" t="s">
        <v>176</v>
      </c>
      <c r="U4" s="9" t="s">
        <v>177</v>
      </c>
      <c r="V4" s="9" t="s">
        <v>178</v>
      </c>
    </row>
    <row r="5">
      <c r="A5" s="3" t="str">
        <f>Acquisition_Plan!A4</f>
        <v>2026-02-01</v>
      </c>
      <c r="B5" s="12">
        <f>Inputs!$B$5</f>
        <v>1600000</v>
      </c>
      <c r="C5" s="12">
        <f>Baseline_Decay!B4</f>
        <v>700000</v>
      </c>
      <c r="D5" s="12">
        <f>Baseline_Decay!C4</f>
        <v>350000</v>
      </c>
      <c r="E5" s="12">
        <f t="shared" ref="E5:E40" si="1">C5-D5</f>
        <v>350000</v>
      </c>
      <c r="F5" s="12">
        <f>New_Cohort_Rev!C41</f>
        <v>157967.5004</v>
      </c>
      <c r="G5" s="12">
        <f>New_Cohort_WD!C41</f>
        <v>21388.02594</v>
      </c>
      <c r="H5" s="12">
        <f t="shared" ref="H5:H40" si="2">F5-G5</f>
        <v>136579.4744</v>
      </c>
      <c r="I5" s="12">
        <f>PVX_Summary!B4</f>
        <v>0</v>
      </c>
      <c r="J5" s="12">
        <f>PVX_Summary!C4</f>
        <v>0</v>
      </c>
      <c r="K5" s="12">
        <f>PVX_Summary!D4</f>
        <v>0</v>
      </c>
      <c r="L5" s="12">
        <f t="shared" ref="L5:L40" si="3">C5+F5</f>
        <v>857967.5004</v>
      </c>
      <c r="M5" s="12">
        <f>L5*Inputs!$B$19</f>
        <v>24452073.76</v>
      </c>
      <c r="N5" s="12">
        <f>M5*Inputs!$B$20*Inputs!$B$21*Inputs!$B$22</f>
        <v>17605.49311</v>
      </c>
      <c r="O5" s="12">
        <f>Acquisition_Plan!B4*Inputs!$B$26*Inputs!$B$25</f>
        <v>11200</v>
      </c>
      <c r="P5" s="12">
        <f>Inputs!$B$6</f>
        <v>250000</v>
      </c>
      <c r="Q5" s="12">
        <f>Acquisition_Plan!F4</f>
        <v>0</v>
      </c>
      <c r="R5" s="23">
        <v>200000.0</v>
      </c>
      <c r="S5" s="12">
        <f t="shared" ref="S5:S40" si="4">C5+F5+K5</f>
        <v>857967.5004</v>
      </c>
      <c r="T5" s="12">
        <f t="shared" ref="T5:T40" si="5">D5+G5+J5+N5+O5+P5+Q5+R5</f>
        <v>850193.519</v>
      </c>
      <c r="U5" s="12">
        <f t="shared" ref="U5:U40" si="6">S5-T5</f>
        <v>7773.981302</v>
      </c>
      <c r="V5" s="12">
        <f t="shared" ref="V5:V40" si="7">B5+U5</f>
        <v>1607773.981</v>
      </c>
    </row>
    <row r="6">
      <c r="A6" s="3" t="str">
        <f>Acquisition_Plan!A5</f>
        <v>2026-03-03</v>
      </c>
      <c r="B6" s="12">
        <f t="shared" ref="B6:B40" si="8">V5</f>
        <v>1607773.981</v>
      </c>
      <c r="C6" s="12">
        <f>Baseline_Decay!B5</f>
        <v>500000</v>
      </c>
      <c r="D6" s="12">
        <f>Baseline_Decay!C5</f>
        <v>250000</v>
      </c>
      <c r="E6" s="12">
        <f t="shared" si="1"/>
        <v>250000</v>
      </c>
      <c r="F6" s="12">
        <f>New_Cohort_Rev!D41</f>
        <v>272783.6909</v>
      </c>
      <c r="G6" s="12">
        <f>New_Cohort_WD!D41</f>
        <v>50269.01705</v>
      </c>
      <c r="H6" s="12">
        <f t="shared" si="2"/>
        <v>222514.6739</v>
      </c>
      <c r="I6" s="12">
        <f>PVX_Summary!B5</f>
        <v>0</v>
      </c>
      <c r="J6" s="12">
        <f>PVX_Summary!C5</f>
        <v>0</v>
      </c>
      <c r="K6" s="12">
        <f>PVX_Summary!D5</f>
        <v>0</v>
      </c>
      <c r="L6" s="12">
        <f t="shared" si="3"/>
        <v>772783.6909</v>
      </c>
      <c r="M6" s="12">
        <f>L6*Inputs!$B$19</f>
        <v>22024335.19</v>
      </c>
      <c r="N6" s="12">
        <f>M6*Inputs!$B$20*Inputs!$B$21*Inputs!$B$22</f>
        <v>15857.52134</v>
      </c>
      <c r="O6" s="12">
        <f>Acquisition_Plan!B5*Inputs!$B$26*Inputs!$B$25</f>
        <v>14000</v>
      </c>
      <c r="P6" s="12">
        <f>Inputs!$B$6</f>
        <v>250000</v>
      </c>
      <c r="Q6" s="12">
        <f>Acquisition_Plan!F5</f>
        <v>0</v>
      </c>
      <c r="R6" s="12">
        <f>Acquisition_Plan!D4</f>
        <v>200000</v>
      </c>
      <c r="S6" s="12">
        <f t="shared" si="4"/>
        <v>772783.6909</v>
      </c>
      <c r="T6" s="12">
        <f t="shared" si="5"/>
        <v>780126.5384</v>
      </c>
      <c r="U6" s="12">
        <f t="shared" si="6"/>
        <v>-7342.84748</v>
      </c>
      <c r="V6" s="12">
        <f t="shared" si="7"/>
        <v>1600431.134</v>
      </c>
    </row>
    <row r="7">
      <c r="A7" s="3" t="str">
        <f>Acquisition_Plan!A6</f>
        <v>2026-04-02</v>
      </c>
      <c r="B7" s="12">
        <f t="shared" si="8"/>
        <v>1600431.134</v>
      </c>
      <c r="C7" s="12">
        <f>Baseline_Decay!B6</f>
        <v>400000</v>
      </c>
      <c r="D7" s="12">
        <f>Baseline_Decay!C6</f>
        <v>200000</v>
      </c>
      <c r="E7" s="12">
        <f t="shared" si="1"/>
        <v>200000</v>
      </c>
      <c r="F7" s="12">
        <f>New_Cohort_Rev!E41</f>
        <v>379390.3093</v>
      </c>
      <c r="G7" s="12">
        <f>New_Cohort_WD!E41</f>
        <v>74709.22036</v>
      </c>
      <c r="H7" s="12">
        <f t="shared" si="2"/>
        <v>304681.0889</v>
      </c>
      <c r="I7" s="12">
        <f>PVX_Summary!B6</f>
        <v>150000</v>
      </c>
      <c r="J7" s="12">
        <f>PVX_Summary!C6</f>
        <v>81748.18143</v>
      </c>
      <c r="K7" s="12">
        <f>PVX_Summary!D6</f>
        <v>0</v>
      </c>
      <c r="L7" s="12">
        <f t="shared" si="3"/>
        <v>779390.3093</v>
      </c>
      <c r="M7" s="12">
        <f>L7*Inputs!$B$19</f>
        <v>22212623.81</v>
      </c>
      <c r="N7" s="12">
        <f>M7*Inputs!$B$20*Inputs!$B$21*Inputs!$B$22</f>
        <v>15993.08915</v>
      </c>
      <c r="O7" s="12">
        <f>Acquisition_Plan!B6*Inputs!$B$26*Inputs!$B$25</f>
        <v>16800</v>
      </c>
      <c r="P7" s="12">
        <f>Inputs!$B$6</f>
        <v>250000</v>
      </c>
      <c r="Q7" s="12">
        <f>Acquisition_Plan!F6</f>
        <v>0</v>
      </c>
      <c r="R7" s="12">
        <f>Acquisition_Plan!D5</f>
        <v>250000</v>
      </c>
      <c r="S7" s="12">
        <f t="shared" si="4"/>
        <v>779390.3093</v>
      </c>
      <c r="T7" s="12">
        <f t="shared" si="5"/>
        <v>889250.4909</v>
      </c>
      <c r="U7" s="12">
        <f t="shared" si="6"/>
        <v>-109860.1817</v>
      </c>
      <c r="V7" s="12">
        <f t="shared" si="7"/>
        <v>1490570.952</v>
      </c>
    </row>
    <row r="8">
      <c r="A8" s="3" t="str">
        <f>Acquisition_Plan!A7</f>
        <v>2026-05-02</v>
      </c>
      <c r="B8" s="12">
        <f t="shared" si="8"/>
        <v>1490570.952</v>
      </c>
      <c r="C8" s="12">
        <f>Baseline_Decay!B7</f>
        <v>300000</v>
      </c>
      <c r="D8" s="12">
        <f>Baseline_Decay!C7</f>
        <v>150000</v>
      </c>
      <c r="E8" s="12">
        <f t="shared" si="1"/>
        <v>150000</v>
      </c>
      <c r="F8" s="12">
        <f>New_Cohort_Rev!F41</f>
        <v>444262.7573</v>
      </c>
      <c r="G8" s="12">
        <f>New_Cohort_WD!F41</f>
        <v>98149.7365</v>
      </c>
      <c r="H8" s="12">
        <f t="shared" si="2"/>
        <v>346113.0208</v>
      </c>
      <c r="I8" s="12">
        <f>PVX_Summary!B7</f>
        <v>150000</v>
      </c>
      <c r="J8" s="12">
        <f>PVX_Summary!C7</f>
        <v>120728.5147</v>
      </c>
      <c r="K8" s="12">
        <f>PVX_Summary!D7</f>
        <v>0</v>
      </c>
      <c r="L8" s="12">
        <f t="shared" si="3"/>
        <v>744262.7573</v>
      </c>
      <c r="M8" s="12">
        <f>L8*Inputs!$B$19</f>
        <v>21211488.58</v>
      </c>
      <c r="N8" s="12">
        <f>M8*Inputs!$B$20*Inputs!$B$21*Inputs!$B$22</f>
        <v>15272.27178</v>
      </c>
      <c r="O8" s="12">
        <f>Acquisition_Plan!B7*Inputs!$B$26*Inputs!$B$25</f>
        <v>16800</v>
      </c>
      <c r="P8" s="12">
        <f t="shared" ref="P8:P40" si="9">300000</f>
        <v>300000</v>
      </c>
      <c r="Q8" s="12">
        <f>Acquisition_Plan!F7</f>
        <v>0</v>
      </c>
      <c r="R8" s="12">
        <f>Acquisition_Plan!D6</f>
        <v>150000</v>
      </c>
      <c r="S8" s="12">
        <f t="shared" si="4"/>
        <v>744262.7573</v>
      </c>
      <c r="T8" s="12">
        <f t="shared" si="5"/>
        <v>850950.523</v>
      </c>
      <c r="U8" s="12">
        <f t="shared" si="6"/>
        <v>-106687.7657</v>
      </c>
      <c r="V8" s="12">
        <f t="shared" si="7"/>
        <v>1383883.186</v>
      </c>
    </row>
    <row r="9">
      <c r="A9" s="3" t="str">
        <f>Acquisition_Plan!A8</f>
        <v>2026-06-01</v>
      </c>
      <c r="B9" s="12">
        <f t="shared" si="8"/>
        <v>1383883.186</v>
      </c>
      <c r="C9" s="12">
        <f>Baseline_Decay!B8</f>
        <v>200000</v>
      </c>
      <c r="D9" s="12">
        <f>Baseline_Decay!C8</f>
        <v>100000</v>
      </c>
      <c r="E9" s="12">
        <f t="shared" si="1"/>
        <v>100000</v>
      </c>
      <c r="F9" s="12">
        <f>New_Cohort_Rev!G41</f>
        <v>564006.484</v>
      </c>
      <c r="G9" s="12">
        <f>New_Cohort_WD!G41</f>
        <v>130033.6806</v>
      </c>
      <c r="H9" s="12">
        <f t="shared" si="2"/>
        <v>433972.8034</v>
      </c>
      <c r="I9" s="12">
        <f>PVX_Summary!B8</f>
        <v>200000</v>
      </c>
      <c r="J9" s="12">
        <f>PVX_Summary!C8</f>
        <v>172964.7048</v>
      </c>
      <c r="K9" s="12">
        <f>PVX_Summary!D8</f>
        <v>0</v>
      </c>
      <c r="L9" s="12">
        <f t="shared" si="3"/>
        <v>764006.484</v>
      </c>
      <c r="M9" s="12">
        <f>L9*Inputs!$B$19</f>
        <v>21774184.79</v>
      </c>
      <c r="N9" s="12">
        <f>M9*Inputs!$B$20*Inputs!$B$21*Inputs!$B$22</f>
        <v>15677.41305</v>
      </c>
      <c r="O9" s="12">
        <f>Acquisition_Plan!B8*Inputs!$B$26*Inputs!$B$25</f>
        <v>22400</v>
      </c>
      <c r="P9" s="12">
        <f t="shared" si="9"/>
        <v>300000</v>
      </c>
      <c r="Q9" s="12">
        <f>Acquisition_Plan!F8</f>
        <v>0</v>
      </c>
      <c r="R9" s="12">
        <f>Acquisition_Plan!D7</f>
        <v>150000</v>
      </c>
      <c r="S9" s="12">
        <f t="shared" si="4"/>
        <v>764006.484</v>
      </c>
      <c r="T9" s="12">
        <f t="shared" si="5"/>
        <v>891075.7985</v>
      </c>
      <c r="U9" s="12">
        <f t="shared" si="6"/>
        <v>-127069.3144</v>
      </c>
      <c r="V9" s="12">
        <f t="shared" si="7"/>
        <v>1256813.872</v>
      </c>
    </row>
    <row r="10">
      <c r="A10" s="3" t="str">
        <f>Acquisition_Plan!A9</f>
        <v>2026-07-01</v>
      </c>
      <c r="B10" s="12">
        <f t="shared" si="8"/>
        <v>1256813.872</v>
      </c>
      <c r="C10" s="12">
        <f>Baseline_Decay!B9</f>
        <v>200000</v>
      </c>
      <c r="D10" s="12">
        <f>Baseline_Decay!C9</f>
        <v>100000</v>
      </c>
      <c r="E10" s="12">
        <f t="shared" si="1"/>
        <v>100000</v>
      </c>
      <c r="F10" s="12">
        <f>New_Cohort_Rev!H41</f>
        <v>633314.9802</v>
      </c>
      <c r="G10" s="12">
        <f>New_Cohort_WD!H41</f>
        <v>159495.0298</v>
      </c>
      <c r="H10" s="12">
        <f t="shared" si="2"/>
        <v>473819.9504</v>
      </c>
      <c r="I10" s="12">
        <f>PVX_Summary!B9</f>
        <v>200000</v>
      </c>
      <c r="J10" s="12">
        <f>PVX_Summary!C9</f>
        <v>197742.8382</v>
      </c>
      <c r="K10" s="12">
        <f>PVX_Summary!D9</f>
        <v>5795.020469</v>
      </c>
      <c r="L10" s="12">
        <f t="shared" si="3"/>
        <v>833314.9802</v>
      </c>
      <c r="M10" s="12">
        <f>L10*Inputs!$B$19</f>
        <v>23749476.94</v>
      </c>
      <c r="N10" s="12">
        <f>M10*Inputs!$B$20*Inputs!$B$21*Inputs!$B$22</f>
        <v>17099.62339</v>
      </c>
      <c r="O10" s="12">
        <f>Acquisition_Plan!B9*Inputs!$B$26*Inputs!$B$25</f>
        <v>22400</v>
      </c>
      <c r="P10" s="12">
        <f t="shared" si="9"/>
        <v>300000</v>
      </c>
      <c r="Q10" s="12">
        <f>Acquisition_Plan!F9</f>
        <v>0</v>
      </c>
      <c r="R10" s="12">
        <f>Acquisition_Plan!D8</f>
        <v>200000</v>
      </c>
      <c r="S10" s="12">
        <f t="shared" si="4"/>
        <v>839110.0007</v>
      </c>
      <c r="T10" s="12">
        <f t="shared" si="5"/>
        <v>996737.4915</v>
      </c>
      <c r="U10" s="12">
        <f t="shared" si="6"/>
        <v>-157627.4907</v>
      </c>
      <c r="V10" s="12">
        <f t="shared" si="7"/>
        <v>1099186.381</v>
      </c>
    </row>
    <row r="11">
      <c r="A11" s="3" t="str">
        <f>Acquisition_Plan!A10</f>
        <v>2026-07-31</v>
      </c>
      <c r="B11" s="12">
        <f t="shared" si="8"/>
        <v>1099186.381</v>
      </c>
      <c r="C11" s="12">
        <f>Baseline_Decay!B10</f>
        <v>200000</v>
      </c>
      <c r="D11" s="12">
        <f>Baseline_Decay!C10</f>
        <v>100000</v>
      </c>
      <c r="E11" s="12">
        <f t="shared" si="1"/>
        <v>100000</v>
      </c>
      <c r="F11" s="12">
        <f>New_Cohort_Rev!I41</f>
        <v>761651.7777</v>
      </c>
      <c r="G11" s="12">
        <f>New_Cohort_WD!I41</f>
        <v>196900.1308</v>
      </c>
      <c r="H11" s="12">
        <f t="shared" si="2"/>
        <v>564751.6469</v>
      </c>
      <c r="I11" s="12">
        <f>PVX_Summary!B10</f>
        <v>250000</v>
      </c>
      <c r="J11" s="12">
        <f>PVX_Summary!C10</f>
        <v>233321.1641</v>
      </c>
      <c r="K11" s="12">
        <f>PVX_Summary!D10</f>
        <v>16246.6819</v>
      </c>
      <c r="L11" s="12">
        <f t="shared" si="3"/>
        <v>961651.7777</v>
      </c>
      <c r="M11" s="12">
        <f>L11*Inputs!$B$19</f>
        <v>27407075.66</v>
      </c>
      <c r="N11" s="12">
        <f>M11*Inputs!$B$20*Inputs!$B$21*Inputs!$B$22</f>
        <v>19733.09448</v>
      </c>
      <c r="O11" s="12">
        <f>Acquisition_Plan!B10*Inputs!$B$26*Inputs!$B$25</f>
        <v>28000</v>
      </c>
      <c r="P11" s="12">
        <f t="shared" si="9"/>
        <v>300000</v>
      </c>
      <c r="Q11" s="12">
        <f>Acquisition_Plan!F10</f>
        <v>0</v>
      </c>
      <c r="R11" s="12">
        <f>Acquisition_Plan!D9</f>
        <v>200000</v>
      </c>
      <c r="S11" s="12">
        <f t="shared" si="4"/>
        <v>977898.4596</v>
      </c>
      <c r="T11" s="12">
        <f t="shared" si="5"/>
        <v>1077954.389</v>
      </c>
      <c r="U11" s="12">
        <f t="shared" si="6"/>
        <v>-100055.9298</v>
      </c>
      <c r="V11" s="12">
        <f t="shared" si="7"/>
        <v>999130.4514</v>
      </c>
    </row>
    <row r="12">
      <c r="A12" s="3" t="str">
        <f>Acquisition_Plan!A11</f>
        <v>2026-08-30</v>
      </c>
      <c r="B12" s="12">
        <f t="shared" si="8"/>
        <v>999130.4514</v>
      </c>
      <c r="C12" s="12">
        <f>Baseline_Decay!B11</f>
        <v>200000</v>
      </c>
      <c r="D12" s="12">
        <f>Baseline_Decay!C11</f>
        <v>100000</v>
      </c>
      <c r="E12" s="12">
        <f t="shared" si="1"/>
        <v>100000</v>
      </c>
      <c r="F12" s="12">
        <f>New_Cohort_Rev!J41</f>
        <v>838549.5376</v>
      </c>
      <c r="G12" s="12">
        <f>New_Cohort_WD!J41</f>
        <v>227999.0712</v>
      </c>
      <c r="H12" s="12">
        <f t="shared" si="2"/>
        <v>610550.4665</v>
      </c>
      <c r="I12" s="12">
        <f>PVX_Summary!B11</f>
        <v>250000</v>
      </c>
      <c r="J12" s="12">
        <f>PVX_Summary!C11</f>
        <v>250242.8382</v>
      </c>
      <c r="K12" s="12">
        <f>PVX_Summary!D11</f>
        <v>27547.49283</v>
      </c>
      <c r="L12" s="12">
        <f t="shared" si="3"/>
        <v>1038549.538</v>
      </c>
      <c r="M12" s="12">
        <f>L12*Inputs!$B$19</f>
        <v>29598661.82</v>
      </c>
      <c r="N12" s="12">
        <f>M12*Inputs!$B$20*Inputs!$B$21*Inputs!$B$22</f>
        <v>21311.03651</v>
      </c>
      <c r="O12" s="12">
        <f>Acquisition_Plan!B11*Inputs!$B$26*Inputs!$B$25</f>
        <v>28000</v>
      </c>
      <c r="P12" s="12">
        <f t="shared" si="9"/>
        <v>300000</v>
      </c>
      <c r="Q12" s="12">
        <f>Acquisition_Plan!F11</f>
        <v>0</v>
      </c>
      <c r="R12" s="12">
        <f>Acquisition_Plan!D10</f>
        <v>250000</v>
      </c>
      <c r="S12" s="12">
        <f t="shared" si="4"/>
        <v>1066097.03</v>
      </c>
      <c r="T12" s="12">
        <f t="shared" si="5"/>
        <v>1177552.946</v>
      </c>
      <c r="U12" s="12">
        <f t="shared" si="6"/>
        <v>-111455.9154</v>
      </c>
      <c r="V12" s="12">
        <f t="shared" si="7"/>
        <v>887674.536</v>
      </c>
    </row>
    <row r="13">
      <c r="A13" s="3" t="str">
        <f>Acquisition_Plan!A12</f>
        <v>2026-09-29</v>
      </c>
      <c r="B13" s="12">
        <f t="shared" si="8"/>
        <v>887674.536</v>
      </c>
      <c r="C13" s="12">
        <f>Baseline_Decay!B12</f>
        <v>200000</v>
      </c>
      <c r="D13" s="12">
        <f>Baseline_Decay!C12</f>
        <v>100000</v>
      </c>
      <c r="E13" s="12">
        <f t="shared" si="1"/>
        <v>100000</v>
      </c>
      <c r="F13" s="12">
        <f>New_Cohort_Rev!K41</f>
        <v>971486.4057</v>
      </c>
      <c r="G13" s="12">
        <f>New_Cohort_WD!K41</f>
        <v>261395.5628</v>
      </c>
      <c r="H13" s="12">
        <f t="shared" si="2"/>
        <v>710090.8429</v>
      </c>
      <c r="I13" s="12">
        <f>PVX_Summary!B12</f>
        <v>300000</v>
      </c>
      <c r="J13" s="12">
        <f>PVX_Summary!C12</f>
        <v>285821.1641</v>
      </c>
      <c r="K13" s="12">
        <f>PVX_Summary!D12</f>
        <v>39122.98404</v>
      </c>
      <c r="L13" s="12">
        <f t="shared" si="3"/>
        <v>1171486.406</v>
      </c>
      <c r="M13" s="12">
        <f>L13*Inputs!$B$19</f>
        <v>33387362.56</v>
      </c>
      <c r="N13" s="12">
        <f>M13*Inputs!$B$20*Inputs!$B$21*Inputs!$B$22</f>
        <v>24038.90104</v>
      </c>
      <c r="O13" s="12">
        <f>Acquisition_Plan!B12*Inputs!$B$26*Inputs!$B$25</f>
        <v>33600</v>
      </c>
      <c r="P13" s="12">
        <f t="shared" si="9"/>
        <v>300000</v>
      </c>
      <c r="Q13" s="12">
        <f>Acquisition_Plan!F12</f>
        <v>0</v>
      </c>
      <c r="R13" s="12">
        <f>Acquisition_Plan!D11</f>
        <v>250000</v>
      </c>
      <c r="S13" s="12">
        <f t="shared" si="4"/>
        <v>1210609.39</v>
      </c>
      <c r="T13" s="12">
        <f t="shared" si="5"/>
        <v>1254855.628</v>
      </c>
      <c r="U13" s="12">
        <f t="shared" si="6"/>
        <v>-44246.23826</v>
      </c>
      <c r="V13" s="12">
        <f t="shared" si="7"/>
        <v>843428.2977</v>
      </c>
    </row>
    <row r="14">
      <c r="A14" s="3" t="str">
        <f>Acquisition_Plan!A13</f>
        <v>2026-10-29</v>
      </c>
      <c r="B14" s="12">
        <f t="shared" si="8"/>
        <v>843428.2977</v>
      </c>
      <c r="C14" s="12">
        <f>Baseline_Decay!B13</f>
        <v>200000</v>
      </c>
      <c r="D14" s="12">
        <f>Baseline_Decay!C13</f>
        <v>100000</v>
      </c>
      <c r="E14" s="12">
        <f t="shared" si="1"/>
        <v>100000</v>
      </c>
      <c r="F14" s="12">
        <f>New_Cohort_Rev!L41</f>
        <v>1056079.027</v>
      </c>
      <c r="G14" s="12">
        <f>New_Cohort_WD!L41</f>
        <v>293990.5935</v>
      </c>
      <c r="H14" s="12">
        <f t="shared" si="2"/>
        <v>762088.4338</v>
      </c>
      <c r="I14" s="12">
        <f>PVX_Summary!B13</f>
        <v>300000</v>
      </c>
      <c r="J14" s="12">
        <f>PVX_Summary!C13</f>
        <v>302742.8382</v>
      </c>
      <c r="K14" s="12">
        <f>PVX_Summary!D13</f>
        <v>51327.0874</v>
      </c>
      <c r="L14" s="12">
        <f t="shared" si="3"/>
        <v>1256079.027</v>
      </c>
      <c r="M14" s="12">
        <f>L14*Inputs!$B$19</f>
        <v>35798252.28</v>
      </c>
      <c r="N14" s="12">
        <f>M14*Inputs!$B$20*Inputs!$B$21*Inputs!$B$22</f>
        <v>25774.74164</v>
      </c>
      <c r="O14" s="12">
        <f>Acquisition_Plan!B13*Inputs!$B$26*Inputs!$B$25</f>
        <v>33600</v>
      </c>
      <c r="P14" s="12">
        <f t="shared" si="9"/>
        <v>300000</v>
      </c>
      <c r="Q14" s="12">
        <f>Acquisition_Plan!F13</f>
        <v>0</v>
      </c>
      <c r="R14" s="12">
        <f>Acquisition_Plan!D12</f>
        <v>300000</v>
      </c>
      <c r="S14" s="12">
        <f t="shared" si="4"/>
        <v>1307406.115</v>
      </c>
      <c r="T14" s="12">
        <f t="shared" si="5"/>
        <v>1356108.173</v>
      </c>
      <c r="U14" s="12">
        <f t="shared" si="6"/>
        <v>-48702.05867</v>
      </c>
      <c r="V14" s="12">
        <f t="shared" si="7"/>
        <v>794726.2391</v>
      </c>
    </row>
    <row r="15">
      <c r="A15" s="3" t="str">
        <f>Acquisition_Plan!A14</f>
        <v>2026-11-28</v>
      </c>
      <c r="B15" s="12">
        <f t="shared" si="8"/>
        <v>794726.2391</v>
      </c>
      <c r="C15" s="12">
        <f>Baseline_Decay!B14</f>
        <v>200000</v>
      </c>
      <c r="D15" s="12">
        <f>Baseline_Decay!C14</f>
        <v>100000</v>
      </c>
      <c r="E15" s="12">
        <f t="shared" si="1"/>
        <v>100000</v>
      </c>
      <c r="F15" s="12">
        <f>New_Cohort_Rev!M41</f>
        <v>1193796.264</v>
      </c>
      <c r="G15" s="12">
        <f>New_Cohort_WD!M41</f>
        <v>330959.5541</v>
      </c>
      <c r="H15" s="12">
        <f t="shared" si="2"/>
        <v>862836.7094</v>
      </c>
      <c r="I15" s="12">
        <f>PVX_Summary!B14</f>
        <v>350000</v>
      </c>
      <c r="J15" s="12">
        <f>PVX_Summary!C14</f>
        <v>338321.1641</v>
      </c>
      <c r="K15" s="12">
        <f>PVX_Summary!D14</f>
        <v>63899.43847</v>
      </c>
      <c r="L15" s="12">
        <f t="shared" si="3"/>
        <v>1393796.264</v>
      </c>
      <c r="M15" s="12">
        <f>L15*Inputs!$B$19</f>
        <v>39723193.51</v>
      </c>
      <c r="N15" s="12">
        <f>M15*Inputs!$B$20*Inputs!$B$21*Inputs!$B$22</f>
        <v>28600.69933</v>
      </c>
      <c r="O15" s="12">
        <f>Acquisition_Plan!B14*Inputs!$B$26*Inputs!$B$25</f>
        <v>39200</v>
      </c>
      <c r="P15" s="12">
        <f t="shared" si="9"/>
        <v>300000</v>
      </c>
      <c r="Q15" s="12">
        <f>Acquisition_Plan!F14</f>
        <v>0</v>
      </c>
      <c r="R15" s="12">
        <f>Acquisition_Plan!D13</f>
        <v>300000</v>
      </c>
      <c r="S15" s="12">
        <f t="shared" si="4"/>
        <v>1457695.702</v>
      </c>
      <c r="T15" s="12">
        <f t="shared" si="5"/>
        <v>1437081.418</v>
      </c>
      <c r="U15" s="12">
        <f t="shared" si="6"/>
        <v>20614.28442</v>
      </c>
      <c r="V15" s="12">
        <f t="shared" si="7"/>
        <v>815340.5235</v>
      </c>
    </row>
    <row r="16">
      <c r="A16" s="3" t="str">
        <f>Acquisition_Plan!A15</f>
        <v>2026-12-28</v>
      </c>
      <c r="B16" s="12">
        <f t="shared" si="8"/>
        <v>815340.5235</v>
      </c>
      <c r="C16" s="12">
        <f>Baseline_Decay!B15</f>
        <v>200000</v>
      </c>
      <c r="D16" s="12">
        <f>Baseline_Decay!C15</f>
        <v>100000</v>
      </c>
      <c r="E16" s="12">
        <f t="shared" si="1"/>
        <v>100000</v>
      </c>
      <c r="F16" s="12">
        <f>New_Cohort_Rev!N41</f>
        <v>1280491.461</v>
      </c>
      <c r="G16" s="12">
        <f>New_Cohort_WD!N41</f>
        <v>363530.6119</v>
      </c>
      <c r="H16" s="12">
        <f t="shared" si="2"/>
        <v>916960.849</v>
      </c>
      <c r="I16" s="12">
        <f>PVX_Summary!B15</f>
        <v>350000</v>
      </c>
      <c r="J16" s="12">
        <f>PVX_Summary!C15</f>
        <v>355242.8382</v>
      </c>
      <c r="K16" s="12">
        <f>PVX_Summary!D15</f>
        <v>78764.21576</v>
      </c>
      <c r="L16" s="12">
        <f t="shared" si="3"/>
        <v>1480491.461</v>
      </c>
      <c r="M16" s="12">
        <f>L16*Inputs!$B$19</f>
        <v>42194006.63</v>
      </c>
      <c r="N16" s="12">
        <f>M16*Inputs!$B$20*Inputs!$B$21*Inputs!$B$22</f>
        <v>30379.68478</v>
      </c>
      <c r="O16" s="12">
        <f>Acquisition_Plan!B15*Inputs!$B$26*Inputs!$B$25</f>
        <v>39200</v>
      </c>
      <c r="P16" s="12">
        <f t="shared" si="9"/>
        <v>300000</v>
      </c>
      <c r="Q16" s="12">
        <f>Acquisition_Plan!F15</f>
        <v>0</v>
      </c>
      <c r="R16" s="12">
        <f>Acquisition_Plan!D14</f>
        <v>350000</v>
      </c>
      <c r="S16" s="12">
        <f t="shared" si="4"/>
        <v>1559255.677</v>
      </c>
      <c r="T16" s="12">
        <f t="shared" si="5"/>
        <v>1538353.135</v>
      </c>
      <c r="U16" s="12">
        <f t="shared" si="6"/>
        <v>20902.54171</v>
      </c>
      <c r="V16" s="12">
        <f t="shared" si="7"/>
        <v>836243.0652</v>
      </c>
    </row>
    <row r="17">
      <c r="A17" s="3" t="str">
        <f>Acquisition_Plan!A16</f>
        <v>2027-01-27</v>
      </c>
      <c r="B17" s="12">
        <f t="shared" si="8"/>
        <v>836243.0652</v>
      </c>
      <c r="C17" s="12">
        <f>Baseline_Decay!B16</f>
        <v>200000</v>
      </c>
      <c r="D17" s="12">
        <f>Baseline_Decay!C16</f>
        <v>100000</v>
      </c>
      <c r="E17" s="12">
        <f t="shared" si="1"/>
        <v>100000</v>
      </c>
      <c r="F17" s="12">
        <f>New_Cohort_Rev!O41</f>
        <v>1422708.375</v>
      </c>
      <c r="G17" s="12">
        <f>New_Cohort_WD!O41</f>
        <v>401555.2857</v>
      </c>
      <c r="H17" s="12">
        <f t="shared" si="2"/>
        <v>1021153.089</v>
      </c>
      <c r="I17" s="12">
        <f>PVX_Summary!B16</f>
        <v>400000</v>
      </c>
      <c r="J17" s="12">
        <f>PVX_Summary!C16</f>
        <v>390821.1641</v>
      </c>
      <c r="K17" s="12">
        <f>PVX_Summary!D16</f>
        <v>92250.72511</v>
      </c>
      <c r="L17" s="12">
        <f t="shared" si="3"/>
        <v>1622708.375</v>
      </c>
      <c r="M17" s="12">
        <f>L17*Inputs!$B$19</f>
        <v>46247188.68</v>
      </c>
      <c r="N17" s="12">
        <f>M17*Inputs!$B$20*Inputs!$B$21*Inputs!$B$22</f>
        <v>33297.97585</v>
      </c>
      <c r="O17" s="12">
        <f>Acquisition_Plan!B16*Inputs!$B$26*Inputs!$B$25</f>
        <v>44800</v>
      </c>
      <c r="P17" s="12">
        <f t="shared" si="9"/>
        <v>300000</v>
      </c>
      <c r="Q17" s="12">
        <f>Acquisition_Plan!F16</f>
        <v>0</v>
      </c>
      <c r="R17" s="12">
        <f>Acquisition_Plan!D15</f>
        <v>350000</v>
      </c>
      <c r="S17" s="12">
        <f t="shared" si="4"/>
        <v>1714959.1</v>
      </c>
      <c r="T17" s="12">
        <f t="shared" si="5"/>
        <v>1620474.426</v>
      </c>
      <c r="U17" s="12">
        <f t="shared" si="6"/>
        <v>94484.67407</v>
      </c>
      <c r="V17" s="12">
        <f t="shared" si="7"/>
        <v>930727.7393</v>
      </c>
    </row>
    <row r="18">
      <c r="A18" s="3" t="str">
        <f>Acquisition_Plan!A17</f>
        <v>2027-02-26</v>
      </c>
      <c r="B18" s="12">
        <f t="shared" si="8"/>
        <v>930727.7393</v>
      </c>
      <c r="C18" s="12">
        <f>Baseline_Decay!B17</f>
        <v>200000</v>
      </c>
      <c r="D18" s="12">
        <f>Baseline_Decay!C17</f>
        <v>100000</v>
      </c>
      <c r="E18" s="12">
        <f t="shared" si="1"/>
        <v>100000</v>
      </c>
      <c r="F18" s="12">
        <f>New_Cohort_Rev!P41</f>
        <v>1507991.461</v>
      </c>
      <c r="G18" s="12">
        <f>New_Cohort_WD!P41</f>
        <v>434055.6119</v>
      </c>
      <c r="H18" s="12">
        <f t="shared" si="2"/>
        <v>1073935.849</v>
      </c>
      <c r="I18" s="12">
        <f>PVX_Summary!B17</f>
        <v>400000</v>
      </c>
      <c r="J18" s="12">
        <f>PVX_Summary!C17</f>
        <v>407742.8382</v>
      </c>
      <c r="K18" s="12">
        <f>PVX_Summary!D17</f>
        <v>107339.2158</v>
      </c>
      <c r="L18" s="12">
        <f t="shared" si="3"/>
        <v>1707991.461</v>
      </c>
      <c r="M18" s="12">
        <f>L18*Inputs!$B$19</f>
        <v>48677756.63</v>
      </c>
      <c r="N18" s="12">
        <f>M18*Inputs!$B$20*Inputs!$B$21*Inputs!$B$22</f>
        <v>35047.98478</v>
      </c>
      <c r="O18" s="12">
        <f>Acquisition_Plan!B17*Inputs!$B$26*Inputs!$B$25</f>
        <v>44800</v>
      </c>
      <c r="P18" s="12">
        <f t="shared" si="9"/>
        <v>300000</v>
      </c>
      <c r="Q18" s="12">
        <f>Acquisition_Plan!F17</f>
        <v>0</v>
      </c>
      <c r="R18" s="12">
        <f>Acquisition_Plan!D16</f>
        <v>400000</v>
      </c>
      <c r="S18" s="12">
        <f t="shared" si="4"/>
        <v>1815330.677</v>
      </c>
      <c r="T18" s="12">
        <f t="shared" si="5"/>
        <v>1721646.435</v>
      </c>
      <c r="U18" s="12">
        <f t="shared" si="6"/>
        <v>93684.24171</v>
      </c>
      <c r="V18" s="12">
        <f t="shared" si="7"/>
        <v>1024411.981</v>
      </c>
    </row>
    <row r="19">
      <c r="A19" s="3" t="str">
        <f>Acquisition_Plan!A18</f>
        <v>2027-03-28</v>
      </c>
      <c r="B19" s="12">
        <f t="shared" si="8"/>
        <v>1024411.981</v>
      </c>
      <c r="C19" s="12">
        <f>Baseline_Decay!B18</f>
        <v>200000</v>
      </c>
      <c r="D19" s="12">
        <f>Baseline_Decay!C18</f>
        <v>100000</v>
      </c>
      <c r="E19" s="12">
        <f t="shared" si="1"/>
        <v>100000</v>
      </c>
      <c r="F19" s="12">
        <f>New_Cohort_Rev!Q41</f>
        <v>1566849.625</v>
      </c>
      <c r="G19" s="12">
        <f>New_Cohort_WD!Q41</f>
        <v>460030.0228</v>
      </c>
      <c r="H19" s="12">
        <f t="shared" si="2"/>
        <v>1106819.602</v>
      </c>
      <c r="I19" s="12">
        <f>PVX_Summary!B18</f>
        <v>400000</v>
      </c>
      <c r="J19" s="12">
        <f>PVX_Summary!C18</f>
        <v>416071.7703</v>
      </c>
      <c r="K19" s="12">
        <f>PVX_Summary!D18</f>
        <v>122550.7251</v>
      </c>
      <c r="L19" s="12">
        <f t="shared" si="3"/>
        <v>1766849.625</v>
      </c>
      <c r="M19" s="12">
        <f>L19*Inputs!$B$19</f>
        <v>50355214.3</v>
      </c>
      <c r="N19" s="12">
        <f>M19*Inputs!$B$20*Inputs!$B$21*Inputs!$B$22</f>
        <v>36255.75429</v>
      </c>
      <c r="O19" s="12">
        <f>Acquisition_Plan!B18*Inputs!$B$26*Inputs!$B$25</f>
        <v>44800</v>
      </c>
      <c r="P19" s="12">
        <f t="shared" si="9"/>
        <v>300000</v>
      </c>
      <c r="Q19" s="12">
        <f>Acquisition_Plan!F18</f>
        <v>0</v>
      </c>
      <c r="R19" s="12">
        <f>Acquisition_Plan!D17</f>
        <v>400000</v>
      </c>
      <c r="S19" s="12">
        <f t="shared" si="4"/>
        <v>1889400.35</v>
      </c>
      <c r="T19" s="12">
        <f t="shared" si="5"/>
        <v>1757157.547</v>
      </c>
      <c r="U19" s="12">
        <f t="shared" si="6"/>
        <v>132242.8022</v>
      </c>
      <c r="V19" s="12">
        <f t="shared" si="7"/>
        <v>1156654.783</v>
      </c>
    </row>
    <row r="20">
      <c r="A20" s="3" t="str">
        <f>Acquisition_Plan!A19</f>
        <v>2027-04-27</v>
      </c>
      <c r="B20" s="12">
        <f t="shared" si="8"/>
        <v>1156654.783</v>
      </c>
      <c r="C20" s="12">
        <f>Baseline_Decay!B19</f>
        <v>200000</v>
      </c>
      <c r="D20" s="12">
        <f>Baseline_Decay!C19</f>
        <v>100000</v>
      </c>
      <c r="E20" s="12">
        <f t="shared" si="1"/>
        <v>100000</v>
      </c>
      <c r="F20" s="12">
        <f>New_Cohort_Rev!R41</f>
        <v>1615720.553</v>
      </c>
      <c r="G20" s="12">
        <f>New_Cohort_WD!R41</f>
        <v>481150.8566</v>
      </c>
      <c r="H20" s="12">
        <f t="shared" si="2"/>
        <v>1134569.696</v>
      </c>
      <c r="I20" s="12">
        <f>PVX_Summary!B19</f>
        <v>400000</v>
      </c>
      <c r="J20" s="12">
        <f>PVX_Summary!C19</f>
        <v>420000</v>
      </c>
      <c r="K20" s="12">
        <f>PVX_Summary!D19</f>
        <v>135482.9658</v>
      </c>
      <c r="L20" s="12">
        <f t="shared" si="3"/>
        <v>1815720.553</v>
      </c>
      <c r="M20" s="12">
        <f>L20*Inputs!$B$19</f>
        <v>51748035.76</v>
      </c>
      <c r="N20" s="12">
        <f>M20*Inputs!$B$20*Inputs!$B$21*Inputs!$B$22</f>
        <v>37258.58575</v>
      </c>
      <c r="O20" s="12">
        <f>Acquisition_Plan!B19*Inputs!$B$26*Inputs!$B$25</f>
        <v>44800</v>
      </c>
      <c r="P20" s="12">
        <f t="shared" si="9"/>
        <v>300000</v>
      </c>
      <c r="Q20" s="12">
        <f>Acquisition_Plan!F19</f>
        <v>0</v>
      </c>
      <c r="R20" s="12">
        <f>Acquisition_Plan!D18</f>
        <v>400000</v>
      </c>
      <c r="S20" s="12">
        <f t="shared" si="4"/>
        <v>1951203.519</v>
      </c>
      <c r="T20" s="12">
        <f t="shared" si="5"/>
        <v>1783209.442</v>
      </c>
      <c r="U20" s="12">
        <f t="shared" si="6"/>
        <v>167994.0763</v>
      </c>
      <c r="V20" s="12">
        <f t="shared" si="7"/>
        <v>1324648.86</v>
      </c>
    </row>
    <row r="21" ht="15.75" customHeight="1">
      <c r="A21" s="3" t="str">
        <f>Acquisition_Plan!A20</f>
        <v>2027-05-27</v>
      </c>
      <c r="B21" s="12">
        <f t="shared" si="8"/>
        <v>1324648.86</v>
      </c>
      <c r="C21" s="12">
        <f>Baseline_Decay!B20</f>
        <v>200000</v>
      </c>
      <c r="D21" s="12">
        <f>Baseline_Decay!C20</f>
        <v>100000</v>
      </c>
      <c r="E21" s="12">
        <f t="shared" si="1"/>
        <v>100000</v>
      </c>
      <c r="F21" s="12">
        <f>New_Cohort_Rev!S41</f>
        <v>1653561.884</v>
      </c>
      <c r="G21" s="12">
        <f>New_Cohort_WD!S41</f>
        <v>501489.1671</v>
      </c>
      <c r="H21" s="12">
        <f t="shared" si="2"/>
        <v>1152072.717</v>
      </c>
      <c r="I21" s="12">
        <f>PVX_Summary!B20</f>
        <v>400000</v>
      </c>
      <c r="J21" s="12">
        <f>PVX_Summary!C20</f>
        <v>420000</v>
      </c>
      <c r="K21" s="12">
        <f>PVX_Summary!D20</f>
        <v>148538.2251</v>
      </c>
      <c r="L21" s="12">
        <f t="shared" si="3"/>
        <v>1853561.884</v>
      </c>
      <c r="M21" s="12">
        <f>L21*Inputs!$B$19</f>
        <v>52826513.71</v>
      </c>
      <c r="N21" s="12">
        <f>M21*Inputs!$B$20*Inputs!$B$21*Inputs!$B$22</f>
        <v>38035.08987</v>
      </c>
      <c r="O21" s="12">
        <f>Acquisition_Plan!B20*Inputs!$B$26*Inputs!$B$25</f>
        <v>44800</v>
      </c>
      <c r="P21" s="12">
        <f t="shared" si="9"/>
        <v>300000</v>
      </c>
      <c r="Q21" s="12">
        <f>Acquisition_Plan!F20</f>
        <v>0</v>
      </c>
      <c r="R21" s="12">
        <f>Acquisition_Plan!D19</f>
        <v>400000</v>
      </c>
      <c r="S21" s="12">
        <f t="shared" si="4"/>
        <v>2002100.11</v>
      </c>
      <c r="T21" s="12">
        <f t="shared" si="5"/>
        <v>1804324.257</v>
      </c>
      <c r="U21" s="12">
        <f t="shared" si="6"/>
        <v>197775.8525</v>
      </c>
      <c r="V21" s="12">
        <f t="shared" si="7"/>
        <v>1522424.712</v>
      </c>
    </row>
    <row r="22" ht="15.75" customHeight="1">
      <c r="A22" s="3" t="str">
        <f>Acquisition_Plan!A21</f>
        <v>2027-06-26</v>
      </c>
      <c r="B22" s="12">
        <f t="shared" si="8"/>
        <v>1522424.712</v>
      </c>
      <c r="C22" s="12">
        <f>Baseline_Decay!B21</f>
        <v>200000</v>
      </c>
      <c r="D22" s="12">
        <f>Baseline_Decay!C21</f>
        <v>100000</v>
      </c>
      <c r="E22" s="12">
        <f t="shared" si="1"/>
        <v>100000</v>
      </c>
      <c r="F22" s="12">
        <f>New_Cohort_Rev!T41</f>
        <v>1686697.586</v>
      </c>
      <c r="G22" s="12">
        <f>New_Cohort_WD!T41</f>
        <v>515870.2036</v>
      </c>
      <c r="H22" s="12">
        <f t="shared" si="2"/>
        <v>1170827.383</v>
      </c>
      <c r="I22" s="12">
        <f>PVX_Summary!B21</f>
        <v>400000</v>
      </c>
      <c r="J22" s="12">
        <f>PVX_Summary!C21</f>
        <v>420000</v>
      </c>
      <c r="K22" s="12">
        <f>PVX_Summary!D21</f>
        <v>159970.0423</v>
      </c>
      <c r="L22" s="12">
        <f t="shared" si="3"/>
        <v>1886697.586</v>
      </c>
      <c r="M22" s="12">
        <f>L22*Inputs!$B$19</f>
        <v>53770881.21</v>
      </c>
      <c r="N22" s="12">
        <f>M22*Inputs!$B$20*Inputs!$B$21*Inputs!$B$22</f>
        <v>38715.03447</v>
      </c>
      <c r="O22" s="12">
        <f>Acquisition_Plan!B21*Inputs!$B$26*Inputs!$B$25</f>
        <v>44800</v>
      </c>
      <c r="P22" s="12">
        <f t="shared" si="9"/>
        <v>300000</v>
      </c>
      <c r="Q22" s="12">
        <f>Acquisition_Plan!F21</f>
        <v>0</v>
      </c>
      <c r="R22" s="12">
        <f>Acquisition_Plan!D20</f>
        <v>400000</v>
      </c>
      <c r="S22" s="12">
        <f t="shared" si="4"/>
        <v>2046667.629</v>
      </c>
      <c r="T22" s="12">
        <f t="shared" si="5"/>
        <v>1819385.238</v>
      </c>
      <c r="U22" s="12">
        <f t="shared" si="6"/>
        <v>227282.3905</v>
      </c>
      <c r="V22" s="12">
        <f t="shared" si="7"/>
        <v>1749707.103</v>
      </c>
    </row>
    <row r="23" ht="15.75" customHeight="1">
      <c r="A23" s="3" t="str">
        <f>Acquisition_Plan!A22</f>
        <v>2027-07-26</v>
      </c>
      <c r="B23" s="12">
        <f t="shared" si="8"/>
        <v>1749707.103</v>
      </c>
      <c r="C23" s="12">
        <f>Baseline_Decay!B22</f>
        <v>200000</v>
      </c>
      <c r="D23" s="12">
        <f>Baseline_Decay!C22</f>
        <v>100000</v>
      </c>
      <c r="E23" s="12">
        <f t="shared" si="1"/>
        <v>100000</v>
      </c>
      <c r="F23" s="12">
        <f>New_Cohort_Rev!U41</f>
        <v>1715690.694</v>
      </c>
      <c r="G23" s="12">
        <f>New_Cohort_WD!U41</f>
        <v>529434.0855</v>
      </c>
      <c r="H23" s="12">
        <f t="shared" si="2"/>
        <v>1186256.609</v>
      </c>
      <c r="I23" s="12">
        <f>PVX_Summary!B22</f>
        <v>400000</v>
      </c>
      <c r="J23" s="12">
        <f>PVX_Summary!C22</f>
        <v>420000</v>
      </c>
      <c r="K23" s="12">
        <f>PVX_Summary!D22</f>
        <v>169972.6645</v>
      </c>
      <c r="L23" s="12">
        <f t="shared" si="3"/>
        <v>1915690.694</v>
      </c>
      <c r="M23" s="12">
        <f>L23*Inputs!$B$19</f>
        <v>54597184.78</v>
      </c>
      <c r="N23" s="12">
        <f>M23*Inputs!$B$20*Inputs!$B$21*Inputs!$B$22</f>
        <v>39309.97304</v>
      </c>
      <c r="O23" s="12">
        <f>Acquisition_Plan!B22*Inputs!$B$26*Inputs!$B$25</f>
        <v>44800</v>
      </c>
      <c r="P23" s="12">
        <f t="shared" si="9"/>
        <v>300000</v>
      </c>
      <c r="Q23" s="12">
        <f>Acquisition_Plan!F22</f>
        <v>0</v>
      </c>
      <c r="R23" s="12">
        <f>Acquisition_Plan!D21</f>
        <v>400000</v>
      </c>
      <c r="S23" s="12">
        <f t="shared" si="4"/>
        <v>2085663.359</v>
      </c>
      <c r="T23" s="12">
        <f t="shared" si="5"/>
        <v>1833544.059</v>
      </c>
      <c r="U23" s="12">
        <f t="shared" si="6"/>
        <v>252119.3001</v>
      </c>
      <c r="V23" s="12">
        <f t="shared" si="7"/>
        <v>2001826.403</v>
      </c>
    </row>
    <row r="24" ht="15.75" customHeight="1">
      <c r="A24" s="3" t="str">
        <f>Acquisition_Plan!A23</f>
        <v>2027-08-25</v>
      </c>
      <c r="B24" s="12">
        <f t="shared" si="8"/>
        <v>2001826.403</v>
      </c>
      <c r="C24" s="12">
        <f>Baseline_Decay!B23</f>
        <v>200000</v>
      </c>
      <c r="D24" s="12">
        <f>Baseline_Decay!C23</f>
        <v>100000</v>
      </c>
      <c r="E24" s="12">
        <f t="shared" si="1"/>
        <v>100000</v>
      </c>
      <c r="F24" s="12">
        <f>New_Cohort_Rev!V41</f>
        <v>1741024.089</v>
      </c>
      <c r="G24" s="12">
        <f>New_Cohort_WD!V41</f>
        <v>538927.75</v>
      </c>
      <c r="H24" s="12">
        <f t="shared" si="2"/>
        <v>1202096.339</v>
      </c>
      <c r="I24" s="12">
        <f>PVX_Summary!B23</f>
        <v>400000</v>
      </c>
      <c r="J24" s="12">
        <f>PVX_Summary!C23</f>
        <v>420000</v>
      </c>
      <c r="K24" s="12">
        <f>PVX_Summary!D23</f>
        <v>178712.6858</v>
      </c>
      <c r="L24" s="12">
        <f t="shared" si="3"/>
        <v>1941024.089</v>
      </c>
      <c r="M24" s="12">
        <f>L24*Inputs!$B$19</f>
        <v>55319186.55</v>
      </c>
      <c r="N24" s="12">
        <f>M24*Inputs!$B$20*Inputs!$B$21*Inputs!$B$22</f>
        <v>39829.81431</v>
      </c>
      <c r="O24" s="12">
        <f>Acquisition_Plan!B23*Inputs!$B$26*Inputs!$B$25</f>
        <v>44800</v>
      </c>
      <c r="P24" s="12">
        <f t="shared" si="9"/>
        <v>300000</v>
      </c>
      <c r="Q24" s="12">
        <f>Acquisition_Plan!F23</f>
        <v>0</v>
      </c>
      <c r="R24" s="12">
        <f>Acquisition_Plan!D22</f>
        <v>400000</v>
      </c>
      <c r="S24" s="12">
        <f t="shared" si="4"/>
        <v>2119736.775</v>
      </c>
      <c r="T24" s="12">
        <f t="shared" si="5"/>
        <v>1843557.564</v>
      </c>
      <c r="U24" s="12">
        <f t="shared" si="6"/>
        <v>276179.2109</v>
      </c>
      <c r="V24" s="12">
        <f t="shared" si="7"/>
        <v>2278005.614</v>
      </c>
    </row>
    <row r="25" ht="15.75" customHeight="1">
      <c r="A25" s="3" t="str">
        <f>Acquisition_Plan!A24</f>
        <v>2027-09-24</v>
      </c>
      <c r="B25" s="12">
        <f t="shared" si="8"/>
        <v>2278005.614</v>
      </c>
      <c r="C25" s="12">
        <f>Baseline_Decay!B24</f>
        <v>200000</v>
      </c>
      <c r="D25" s="12">
        <f>Baseline_Decay!C24</f>
        <v>100000</v>
      </c>
      <c r="E25" s="12">
        <f t="shared" si="1"/>
        <v>100000</v>
      </c>
      <c r="F25" s="12">
        <f>New_Cohort_Rev!W41</f>
        <v>1763449.222</v>
      </c>
      <c r="G25" s="12">
        <f>New_Cohort_WD!W41</f>
        <v>545935.2132</v>
      </c>
      <c r="H25" s="12">
        <f t="shared" si="2"/>
        <v>1217514.009</v>
      </c>
      <c r="I25" s="12">
        <f>PVX_Summary!B24</f>
        <v>400000</v>
      </c>
      <c r="J25" s="12">
        <f>PVX_Summary!C24</f>
        <v>420000</v>
      </c>
      <c r="K25" s="12">
        <f>PVX_Summary!D24</f>
        <v>186449.3567</v>
      </c>
      <c r="L25" s="12">
        <f t="shared" si="3"/>
        <v>1963449.222</v>
      </c>
      <c r="M25" s="12">
        <f>L25*Inputs!$B$19</f>
        <v>55958302.83</v>
      </c>
      <c r="N25" s="12">
        <f>M25*Inputs!$B$20*Inputs!$B$21*Inputs!$B$22</f>
        <v>40289.97804</v>
      </c>
      <c r="O25" s="12">
        <f>Acquisition_Plan!B24*Inputs!$B$26*Inputs!$B$25</f>
        <v>44800</v>
      </c>
      <c r="P25" s="12">
        <f t="shared" si="9"/>
        <v>300000</v>
      </c>
      <c r="Q25" s="12">
        <f>Acquisition_Plan!F24</f>
        <v>0</v>
      </c>
      <c r="R25" s="12">
        <f>Acquisition_Plan!D23</f>
        <v>400000</v>
      </c>
      <c r="S25" s="12">
        <f t="shared" si="4"/>
        <v>2149898.579</v>
      </c>
      <c r="T25" s="12">
        <f t="shared" si="5"/>
        <v>1851025.191</v>
      </c>
      <c r="U25" s="12">
        <f t="shared" si="6"/>
        <v>298873.3877</v>
      </c>
      <c r="V25" s="12">
        <f t="shared" si="7"/>
        <v>2576879.001</v>
      </c>
    </row>
    <row r="26" ht="15.75" customHeight="1">
      <c r="A26" s="3" t="str">
        <f>Acquisition_Plan!A25</f>
        <v>2027-10-24</v>
      </c>
      <c r="B26" s="12">
        <f t="shared" si="8"/>
        <v>2576879.001</v>
      </c>
      <c r="C26" s="12">
        <f>Baseline_Decay!B25</f>
        <v>200000</v>
      </c>
      <c r="D26" s="12">
        <f>Baseline_Decay!C25</f>
        <v>100000</v>
      </c>
      <c r="E26" s="12">
        <f t="shared" si="1"/>
        <v>100000</v>
      </c>
      <c r="F26" s="12">
        <f>New_Cohort_Rev!X41</f>
        <v>1783125</v>
      </c>
      <c r="G26" s="12">
        <f>New_Cohort_WD!X41</f>
        <v>552768.75</v>
      </c>
      <c r="H26" s="12">
        <f t="shared" si="2"/>
        <v>1230356.25</v>
      </c>
      <c r="I26" s="12">
        <f>PVX_Summary!B25</f>
        <v>400000</v>
      </c>
      <c r="J26" s="12">
        <f>PVX_Summary!C25</f>
        <v>420000</v>
      </c>
      <c r="K26" s="12">
        <f>PVX_Summary!D25</f>
        <v>193237.5</v>
      </c>
      <c r="L26" s="12">
        <f t="shared" si="3"/>
        <v>1983125</v>
      </c>
      <c r="M26" s="12">
        <f>L26*Inputs!$B$19</f>
        <v>56519062.5</v>
      </c>
      <c r="N26" s="12">
        <f>M26*Inputs!$B$20*Inputs!$B$21*Inputs!$B$22</f>
        <v>40693.725</v>
      </c>
      <c r="O26" s="12">
        <f>Acquisition_Plan!B25*Inputs!$B$26*Inputs!$B$25</f>
        <v>44800</v>
      </c>
      <c r="P26" s="12">
        <f t="shared" si="9"/>
        <v>300000</v>
      </c>
      <c r="Q26" s="12">
        <f>Acquisition_Plan!F25</f>
        <v>0</v>
      </c>
      <c r="R26" s="12">
        <f>Acquisition_Plan!D24</f>
        <v>400000</v>
      </c>
      <c r="S26" s="12">
        <f t="shared" si="4"/>
        <v>2176362.5</v>
      </c>
      <c r="T26" s="12">
        <f t="shared" si="5"/>
        <v>1858262.475</v>
      </c>
      <c r="U26" s="12">
        <f t="shared" si="6"/>
        <v>318100.025</v>
      </c>
      <c r="V26" s="12">
        <f t="shared" si="7"/>
        <v>2894979.026</v>
      </c>
    </row>
    <row r="27" ht="15.75" customHeight="1">
      <c r="A27" s="3" t="str">
        <f>Acquisition_Plan!A26</f>
        <v>2027-11-23</v>
      </c>
      <c r="B27" s="12">
        <f t="shared" si="8"/>
        <v>2894979.026</v>
      </c>
      <c r="C27" s="12">
        <f>Baseline_Decay!B26</f>
        <v>200000</v>
      </c>
      <c r="D27" s="12">
        <f>Baseline_Decay!C26</f>
        <v>100000</v>
      </c>
      <c r="E27" s="12">
        <f t="shared" si="1"/>
        <v>100000</v>
      </c>
      <c r="F27" s="12">
        <f>New_Cohort_Rev!Y41</f>
        <v>1800625</v>
      </c>
      <c r="G27" s="12">
        <f>New_Cohort_WD!Y41</f>
        <v>558193.75</v>
      </c>
      <c r="H27" s="12">
        <f t="shared" si="2"/>
        <v>1242431.25</v>
      </c>
      <c r="I27" s="12">
        <f>PVX_Summary!B26</f>
        <v>400000</v>
      </c>
      <c r="J27" s="12">
        <f>PVX_Summary!C26</f>
        <v>420000</v>
      </c>
      <c r="K27" s="12">
        <f>PVX_Summary!D26</f>
        <v>199275</v>
      </c>
      <c r="L27" s="12">
        <f t="shared" si="3"/>
        <v>2000625</v>
      </c>
      <c r="M27" s="12">
        <f>L27*Inputs!$B$19</f>
        <v>57017812.5</v>
      </c>
      <c r="N27" s="12">
        <f>M27*Inputs!$B$20*Inputs!$B$21*Inputs!$B$22</f>
        <v>41052.825</v>
      </c>
      <c r="O27" s="12">
        <f>Acquisition_Plan!B26*Inputs!$B$26*Inputs!$B$25</f>
        <v>44800</v>
      </c>
      <c r="P27" s="12">
        <f t="shared" si="9"/>
        <v>300000</v>
      </c>
      <c r="Q27" s="12">
        <f>Acquisition_Plan!F26</f>
        <v>0</v>
      </c>
      <c r="R27" s="12">
        <f>Acquisition_Plan!D25</f>
        <v>400000</v>
      </c>
      <c r="S27" s="12">
        <f t="shared" si="4"/>
        <v>2199900</v>
      </c>
      <c r="T27" s="12">
        <f t="shared" si="5"/>
        <v>1864046.575</v>
      </c>
      <c r="U27" s="12">
        <f t="shared" si="6"/>
        <v>335853.425</v>
      </c>
      <c r="V27" s="12">
        <f t="shared" si="7"/>
        <v>3230832.451</v>
      </c>
    </row>
    <row r="28" ht="15.75" customHeight="1">
      <c r="A28" s="3" t="str">
        <f>Acquisition_Plan!A27</f>
        <v>2027-12-23</v>
      </c>
      <c r="B28" s="12">
        <f t="shared" si="8"/>
        <v>3230832.451</v>
      </c>
      <c r="C28" s="12">
        <f>Baseline_Decay!B27</f>
        <v>200000</v>
      </c>
      <c r="D28" s="12">
        <f>Baseline_Decay!C27</f>
        <v>100000</v>
      </c>
      <c r="E28" s="12">
        <f t="shared" si="1"/>
        <v>100000</v>
      </c>
      <c r="F28" s="12">
        <f>New_Cohort_Rev!Z41</f>
        <v>1814375</v>
      </c>
      <c r="G28" s="12">
        <f>New_Cohort_WD!Z41</f>
        <v>562456.25</v>
      </c>
      <c r="H28" s="12">
        <f t="shared" si="2"/>
        <v>1251918.75</v>
      </c>
      <c r="I28" s="12">
        <f>PVX_Summary!B27</f>
        <v>400000</v>
      </c>
      <c r="J28" s="12">
        <f>PVX_Summary!C27</f>
        <v>420000</v>
      </c>
      <c r="K28" s="12">
        <f>PVX_Summary!D27</f>
        <v>204018.75</v>
      </c>
      <c r="L28" s="12">
        <f t="shared" si="3"/>
        <v>2014375</v>
      </c>
      <c r="M28" s="12">
        <f>L28*Inputs!$B$19</f>
        <v>57409687.5</v>
      </c>
      <c r="N28" s="12">
        <f>M28*Inputs!$B$20*Inputs!$B$21*Inputs!$B$22</f>
        <v>41334.975</v>
      </c>
      <c r="O28" s="12">
        <f>Acquisition_Plan!B27*Inputs!$B$26*Inputs!$B$25</f>
        <v>44800</v>
      </c>
      <c r="P28" s="12">
        <f t="shared" si="9"/>
        <v>300000</v>
      </c>
      <c r="Q28" s="12">
        <f>Acquisition_Plan!F27</f>
        <v>0</v>
      </c>
      <c r="R28" s="12">
        <f>Acquisition_Plan!D26</f>
        <v>400000</v>
      </c>
      <c r="S28" s="12">
        <f t="shared" si="4"/>
        <v>2218393.75</v>
      </c>
      <c r="T28" s="12">
        <f t="shared" si="5"/>
        <v>1868591.225</v>
      </c>
      <c r="U28" s="12">
        <f t="shared" si="6"/>
        <v>349802.525</v>
      </c>
      <c r="V28" s="12">
        <f t="shared" si="7"/>
        <v>3580634.976</v>
      </c>
    </row>
    <row r="29" ht="15.75" customHeight="1">
      <c r="A29" s="3" t="str">
        <f>Acquisition_Plan!A28</f>
        <v>2028-01-22</v>
      </c>
      <c r="B29" s="12">
        <f t="shared" si="8"/>
        <v>3580634.976</v>
      </c>
      <c r="C29" s="12">
        <f>Baseline_Decay!B28</f>
        <v>200000</v>
      </c>
      <c r="D29" s="12">
        <f>Baseline_Decay!C28</f>
        <v>100000</v>
      </c>
      <c r="E29" s="12">
        <f t="shared" si="1"/>
        <v>100000</v>
      </c>
      <c r="F29" s="12">
        <f>New_Cohort_Rev!AA41</f>
        <v>1828125</v>
      </c>
      <c r="G29" s="12">
        <f>New_Cohort_WD!AA41</f>
        <v>566718.75</v>
      </c>
      <c r="H29" s="12">
        <f t="shared" si="2"/>
        <v>1261406.25</v>
      </c>
      <c r="I29" s="12">
        <f>PVX_Summary!B28</f>
        <v>400000</v>
      </c>
      <c r="J29" s="12">
        <f>PVX_Summary!C28</f>
        <v>420000</v>
      </c>
      <c r="K29" s="12">
        <f>PVX_Summary!D28</f>
        <v>208762.5</v>
      </c>
      <c r="L29" s="12">
        <f t="shared" si="3"/>
        <v>2028125</v>
      </c>
      <c r="M29" s="12">
        <f>L29*Inputs!$B$19</f>
        <v>57801562.5</v>
      </c>
      <c r="N29" s="12">
        <f>M29*Inputs!$B$20*Inputs!$B$21*Inputs!$B$22</f>
        <v>41617.125</v>
      </c>
      <c r="O29" s="12">
        <f>Acquisition_Plan!B28*Inputs!$B$26*Inputs!$B$25</f>
        <v>44800</v>
      </c>
      <c r="P29" s="12">
        <f t="shared" si="9"/>
        <v>300000</v>
      </c>
      <c r="Q29" s="12">
        <f>Acquisition_Plan!F28</f>
        <v>0</v>
      </c>
      <c r="R29" s="12">
        <f>Acquisition_Plan!D27</f>
        <v>400000</v>
      </c>
      <c r="S29" s="12">
        <f t="shared" si="4"/>
        <v>2236887.5</v>
      </c>
      <c r="T29" s="12">
        <f t="shared" si="5"/>
        <v>1873135.875</v>
      </c>
      <c r="U29" s="12">
        <f t="shared" si="6"/>
        <v>363751.625</v>
      </c>
      <c r="V29" s="12">
        <f t="shared" si="7"/>
        <v>3944386.601</v>
      </c>
    </row>
    <row r="30" ht="15.75" customHeight="1">
      <c r="A30" s="3" t="str">
        <f>Acquisition_Plan!A29</f>
        <v>2028-02-21</v>
      </c>
      <c r="B30" s="12">
        <f t="shared" si="8"/>
        <v>3944386.601</v>
      </c>
      <c r="C30" s="12">
        <f>Baseline_Decay!B29</f>
        <v>200000</v>
      </c>
      <c r="D30" s="12">
        <f>Baseline_Decay!C29</f>
        <v>100000</v>
      </c>
      <c r="E30" s="12">
        <f t="shared" si="1"/>
        <v>100000</v>
      </c>
      <c r="F30" s="12">
        <f>New_Cohort_Rev!AB41</f>
        <v>1838125</v>
      </c>
      <c r="G30" s="12">
        <f>New_Cohort_WD!AB41</f>
        <v>569818.75</v>
      </c>
      <c r="H30" s="12">
        <f t="shared" si="2"/>
        <v>1268306.25</v>
      </c>
      <c r="I30" s="12">
        <f>PVX_Summary!B29</f>
        <v>400000</v>
      </c>
      <c r="J30" s="12">
        <f>PVX_Summary!C29</f>
        <v>420000</v>
      </c>
      <c r="K30" s="12">
        <f>PVX_Summary!D29</f>
        <v>212212.5</v>
      </c>
      <c r="L30" s="12">
        <f t="shared" si="3"/>
        <v>2038125</v>
      </c>
      <c r="M30" s="12">
        <f>L30*Inputs!$B$19</f>
        <v>58086562.5</v>
      </c>
      <c r="N30" s="12">
        <f>M30*Inputs!$B$20*Inputs!$B$21*Inputs!$B$22</f>
        <v>41822.325</v>
      </c>
      <c r="O30" s="12">
        <f>Acquisition_Plan!B29*Inputs!$B$26*Inputs!$B$25</f>
        <v>44800</v>
      </c>
      <c r="P30" s="12">
        <f t="shared" si="9"/>
        <v>300000</v>
      </c>
      <c r="Q30" s="12">
        <f>Acquisition_Plan!F29</f>
        <v>0</v>
      </c>
      <c r="R30" s="12">
        <f>Acquisition_Plan!D28</f>
        <v>400000</v>
      </c>
      <c r="S30" s="12">
        <f t="shared" si="4"/>
        <v>2250337.5</v>
      </c>
      <c r="T30" s="12">
        <f t="shared" si="5"/>
        <v>1876441.075</v>
      </c>
      <c r="U30" s="12">
        <f t="shared" si="6"/>
        <v>373896.425</v>
      </c>
      <c r="V30" s="12">
        <f t="shared" si="7"/>
        <v>4318283.026</v>
      </c>
    </row>
    <row r="31" ht="15.75" customHeight="1">
      <c r="A31" s="3" t="str">
        <f>Acquisition_Plan!A30</f>
        <v>2028-03-22</v>
      </c>
      <c r="B31" s="12">
        <f t="shared" si="8"/>
        <v>4318283.026</v>
      </c>
      <c r="C31" s="12">
        <f>Baseline_Decay!B30</f>
        <v>200000</v>
      </c>
      <c r="D31" s="12">
        <f>Baseline_Decay!C30</f>
        <v>100000</v>
      </c>
      <c r="E31" s="12">
        <f t="shared" si="1"/>
        <v>100000</v>
      </c>
      <c r="F31" s="12">
        <f>New_Cohort_Rev!AC41</f>
        <v>1848125</v>
      </c>
      <c r="G31" s="12">
        <f>New_Cohort_WD!AC41</f>
        <v>572918.75</v>
      </c>
      <c r="H31" s="12">
        <f t="shared" si="2"/>
        <v>1275206.25</v>
      </c>
      <c r="I31" s="12">
        <f>PVX_Summary!B30</f>
        <v>400000</v>
      </c>
      <c r="J31" s="12">
        <f>PVX_Summary!C30</f>
        <v>420000</v>
      </c>
      <c r="K31" s="12">
        <f>PVX_Summary!D30</f>
        <v>215662.5</v>
      </c>
      <c r="L31" s="12">
        <f t="shared" si="3"/>
        <v>2048125</v>
      </c>
      <c r="M31" s="12">
        <f>L31*Inputs!$B$19</f>
        <v>58371562.5</v>
      </c>
      <c r="N31" s="12">
        <f>M31*Inputs!$B$20*Inputs!$B$21*Inputs!$B$22</f>
        <v>42027.525</v>
      </c>
      <c r="O31" s="12">
        <f>Acquisition_Plan!B30*Inputs!$B$26*Inputs!$B$25</f>
        <v>44800</v>
      </c>
      <c r="P31" s="12">
        <f t="shared" si="9"/>
        <v>300000</v>
      </c>
      <c r="Q31" s="12">
        <f>Acquisition_Plan!F30</f>
        <v>0</v>
      </c>
      <c r="R31" s="12">
        <f>Acquisition_Plan!D29</f>
        <v>400000</v>
      </c>
      <c r="S31" s="12">
        <f t="shared" si="4"/>
        <v>2263787.5</v>
      </c>
      <c r="T31" s="12">
        <f t="shared" si="5"/>
        <v>1879746.275</v>
      </c>
      <c r="U31" s="12">
        <f t="shared" si="6"/>
        <v>384041.225</v>
      </c>
      <c r="V31" s="12">
        <f t="shared" si="7"/>
        <v>4702324.251</v>
      </c>
    </row>
    <row r="32" ht="15.75" customHeight="1">
      <c r="A32" s="3" t="str">
        <f>Acquisition_Plan!A31</f>
        <v>2028-04-21</v>
      </c>
      <c r="B32" s="12">
        <f t="shared" si="8"/>
        <v>4702324.251</v>
      </c>
      <c r="C32" s="12">
        <f>Baseline_Decay!B31</f>
        <v>200000</v>
      </c>
      <c r="D32" s="12">
        <f>Baseline_Decay!C31</f>
        <v>100000</v>
      </c>
      <c r="E32" s="12">
        <f t="shared" si="1"/>
        <v>100000</v>
      </c>
      <c r="F32" s="12">
        <f>New_Cohort_Rev!AD41</f>
        <v>1858125</v>
      </c>
      <c r="G32" s="12">
        <f>New_Cohort_WD!AD41</f>
        <v>576018.75</v>
      </c>
      <c r="H32" s="12">
        <f t="shared" si="2"/>
        <v>1282106.25</v>
      </c>
      <c r="I32" s="12">
        <f>PVX_Summary!B31</f>
        <v>400000</v>
      </c>
      <c r="J32" s="12">
        <f>PVX_Summary!C31</f>
        <v>420000</v>
      </c>
      <c r="K32" s="12">
        <f>PVX_Summary!D31</f>
        <v>219112.5</v>
      </c>
      <c r="L32" s="12">
        <f t="shared" si="3"/>
        <v>2058125</v>
      </c>
      <c r="M32" s="12">
        <f>L32*Inputs!$B$19</f>
        <v>58656562.5</v>
      </c>
      <c r="N32" s="12">
        <f>M32*Inputs!$B$20*Inputs!$B$21*Inputs!$B$22</f>
        <v>42232.725</v>
      </c>
      <c r="O32" s="12">
        <f>Acquisition_Plan!B31*Inputs!$B$26*Inputs!$B$25</f>
        <v>44800</v>
      </c>
      <c r="P32" s="12">
        <f t="shared" si="9"/>
        <v>300000</v>
      </c>
      <c r="Q32" s="12">
        <f>Acquisition_Plan!F31</f>
        <v>0</v>
      </c>
      <c r="R32" s="12">
        <f>Acquisition_Plan!D30</f>
        <v>400000</v>
      </c>
      <c r="S32" s="12">
        <f t="shared" si="4"/>
        <v>2277237.5</v>
      </c>
      <c r="T32" s="12">
        <f t="shared" si="5"/>
        <v>1883051.475</v>
      </c>
      <c r="U32" s="12">
        <f t="shared" si="6"/>
        <v>394186.025</v>
      </c>
      <c r="V32" s="12">
        <f t="shared" si="7"/>
        <v>5096510.276</v>
      </c>
    </row>
    <row r="33" ht="15.75" customHeight="1">
      <c r="A33" s="3" t="str">
        <f>Acquisition_Plan!A32</f>
        <v>2028-05-21</v>
      </c>
      <c r="B33" s="12">
        <f t="shared" si="8"/>
        <v>5096510.276</v>
      </c>
      <c r="C33" s="12">
        <f>Baseline_Decay!B32</f>
        <v>200000</v>
      </c>
      <c r="D33" s="12">
        <f>Baseline_Decay!C32</f>
        <v>100000</v>
      </c>
      <c r="E33" s="12">
        <f t="shared" si="1"/>
        <v>100000</v>
      </c>
      <c r="F33" s="12">
        <f>New_Cohort_Rev!AE41</f>
        <v>1868125</v>
      </c>
      <c r="G33" s="12">
        <f>New_Cohort_WD!AE41</f>
        <v>579118.75</v>
      </c>
      <c r="H33" s="12">
        <f t="shared" si="2"/>
        <v>1289006.25</v>
      </c>
      <c r="I33" s="12">
        <f>PVX_Summary!B32</f>
        <v>400000</v>
      </c>
      <c r="J33" s="12">
        <f>PVX_Summary!C32</f>
        <v>420000</v>
      </c>
      <c r="K33" s="12">
        <f>PVX_Summary!D32</f>
        <v>222562.5</v>
      </c>
      <c r="L33" s="12">
        <f t="shared" si="3"/>
        <v>2068125</v>
      </c>
      <c r="M33" s="12">
        <f>L33*Inputs!$B$19</f>
        <v>58941562.5</v>
      </c>
      <c r="N33" s="12">
        <f>M33*Inputs!$B$20*Inputs!$B$21*Inputs!$B$22</f>
        <v>42437.925</v>
      </c>
      <c r="O33" s="12">
        <f>Acquisition_Plan!B32*Inputs!$B$26*Inputs!$B$25</f>
        <v>44800</v>
      </c>
      <c r="P33" s="12">
        <f t="shared" si="9"/>
        <v>300000</v>
      </c>
      <c r="Q33" s="12">
        <f>Acquisition_Plan!F32</f>
        <v>0</v>
      </c>
      <c r="R33" s="12">
        <f>Acquisition_Plan!D31</f>
        <v>400000</v>
      </c>
      <c r="S33" s="12">
        <f t="shared" si="4"/>
        <v>2290687.5</v>
      </c>
      <c r="T33" s="12">
        <f t="shared" si="5"/>
        <v>1886356.675</v>
      </c>
      <c r="U33" s="12">
        <f t="shared" si="6"/>
        <v>404330.825</v>
      </c>
      <c r="V33" s="12">
        <f t="shared" si="7"/>
        <v>5500841.101</v>
      </c>
    </row>
    <row r="34" ht="15.75" customHeight="1">
      <c r="A34" s="3" t="str">
        <f>Acquisition_Plan!A33</f>
        <v>2028-06-20</v>
      </c>
      <c r="B34" s="12">
        <f t="shared" si="8"/>
        <v>5500841.101</v>
      </c>
      <c r="C34" s="12">
        <f>Baseline_Decay!B33</f>
        <v>200000</v>
      </c>
      <c r="D34" s="12">
        <f>Baseline_Decay!C33</f>
        <v>100000</v>
      </c>
      <c r="E34" s="12">
        <f t="shared" si="1"/>
        <v>100000</v>
      </c>
      <c r="F34" s="12">
        <f>New_Cohort_Rev!AF41</f>
        <v>1878125</v>
      </c>
      <c r="G34" s="12">
        <f>New_Cohort_WD!AF41</f>
        <v>582218.75</v>
      </c>
      <c r="H34" s="12">
        <f t="shared" si="2"/>
        <v>1295906.25</v>
      </c>
      <c r="I34" s="12">
        <f>PVX_Summary!B33</f>
        <v>400000</v>
      </c>
      <c r="J34" s="12">
        <f>PVX_Summary!C33</f>
        <v>420000</v>
      </c>
      <c r="K34" s="12">
        <f>PVX_Summary!D33</f>
        <v>226012.5</v>
      </c>
      <c r="L34" s="12">
        <f t="shared" si="3"/>
        <v>2078125</v>
      </c>
      <c r="M34" s="12">
        <f>L34*Inputs!$B$19</f>
        <v>59226562.5</v>
      </c>
      <c r="N34" s="12">
        <f>M34*Inputs!$B$20*Inputs!$B$21*Inputs!$B$22</f>
        <v>42643.125</v>
      </c>
      <c r="O34" s="12">
        <f>Acquisition_Plan!B33*Inputs!$B$26*Inputs!$B$25</f>
        <v>44800</v>
      </c>
      <c r="P34" s="12">
        <f t="shared" si="9"/>
        <v>300000</v>
      </c>
      <c r="Q34" s="12">
        <f>Acquisition_Plan!F33</f>
        <v>0</v>
      </c>
      <c r="R34" s="12">
        <f>Acquisition_Plan!D32</f>
        <v>400000</v>
      </c>
      <c r="S34" s="12">
        <f t="shared" si="4"/>
        <v>2304137.5</v>
      </c>
      <c r="T34" s="12">
        <f t="shared" si="5"/>
        <v>1889661.875</v>
      </c>
      <c r="U34" s="12">
        <f t="shared" si="6"/>
        <v>414475.625</v>
      </c>
      <c r="V34" s="12">
        <f t="shared" si="7"/>
        <v>5915316.726</v>
      </c>
    </row>
    <row r="35" ht="15.75" customHeight="1">
      <c r="A35" s="3" t="str">
        <f>Acquisition_Plan!A34</f>
        <v>2028-07-20</v>
      </c>
      <c r="B35" s="12">
        <f t="shared" si="8"/>
        <v>5915316.726</v>
      </c>
      <c r="C35" s="12">
        <f>Baseline_Decay!B34</f>
        <v>200000</v>
      </c>
      <c r="D35" s="12">
        <f>Baseline_Decay!C34</f>
        <v>100000</v>
      </c>
      <c r="E35" s="12">
        <f t="shared" si="1"/>
        <v>100000</v>
      </c>
      <c r="F35" s="12">
        <f>New_Cohort_Rev!AG41</f>
        <v>1888125</v>
      </c>
      <c r="G35" s="12">
        <f>New_Cohort_WD!AG41</f>
        <v>585318.75</v>
      </c>
      <c r="H35" s="12">
        <f t="shared" si="2"/>
        <v>1302806.25</v>
      </c>
      <c r="I35" s="12">
        <f>PVX_Summary!B34</f>
        <v>400000</v>
      </c>
      <c r="J35" s="12">
        <f>PVX_Summary!C34</f>
        <v>420000</v>
      </c>
      <c r="K35" s="12">
        <f>PVX_Summary!D34</f>
        <v>229462.5</v>
      </c>
      <c r="L35" s="12">
        <f t="shared" si="3"/>
        <v>2088125</v>
      </c>
      <c r="M35" s="12">
        <f>L35*Inputs!$B$19</f>
        <v>59511562.5</v>
      </c>
      <c r="N35" s="12">
        <f>M35*Inputs!$B$20*Inputs!$B$21*Inputs!$B$22</f>
        <v>42848.325</v>
      </c>
      <c r="O35" s="12">
        <f>Acquisition_Plan!B34*Inputs!$B$26*Inputs!$B$25</f>
        <v>44800</v>
      </c>
      <c r="P35" s="12">
        <f t="shared" si="9"/>
        <v>300000</v>
      </c>
      <c r="Q35" s="12">
        <f>Acquisition_Plan!F34</f>
        <v>0</v>
      </c>
      <c r="R35" s="12">
        <f>Acquisition_Plan!D33</f>
        <v>400000</v>
      </c>
      <c r="S35" s="12">
        <f t="shared" si="4"/>
        <v>2317587.5</v>
      </c>
      <c r="T35" s="12">
        <f t="shared" si="5"/>
        <v>1892967.075</v>
      </c>
      <c r="U35" s="12">
        <f t="shared" si="6"/>
        <v>424620.425</v>
      </c>
      <c r="V35" s="12">
        <f t="shared" si="7"/>
        <v>6339937.151</v>
      </c>
    </row>
    <row r="36" ht="15.75" customHeight="1">
      <c r="A36" s="3" t="str">
        <f>Acquisition_Plan!A35</f>
        <v>2028-08-19</v>
      </c>
      <c r="B36" s="12">
        <f t="shared" si="8"/>
        <v>6339937.151</v>
      </c>
      <c r="C36" s="12">
        <f>Baseline_Decay!B35</f>
        <v>200000</v>
      </c>
      <c r="D36" s="12">
        <f>Baseline_Decay!C35</f>
        <v>100000</v>
      </c>
      <c r="E36" s="12">
        <f t="shared" si="1"/>
        <v>100000</v>
      </c>
      <c r="F36" s="12">
        <f>New_Cohort_Rev!AH41</f>
        <v>1898125</v>
      </c>
      <c r="G36" s="12">
        <f>New_Cohort_WD!AH41</f>
        <v>588418.75</v>
      </c>
      <c r="H36" s="12">
        <f t="shared" si="2"/>
        <v>1309706.25</v>
      </c>
      <c r="I36" s="12">
        <f>PVX_Summary!B35</f>
        <v>400000</v>
      </c>
      <c r="J36" s="12">
        <f>PVX_Summary!C35</f>
        <v>420000</v>
      </c>
      <c r="K36" s="12">
        <f>PVX_Summary!D35</f>
        <v>232912.5</v>
      </c>
      <c r="L36" s="12">
        <f t="shared" si="3"/>
        <v>2098125</v>
      </c>
      <c r="M36" s="12">
        <f>L36*Inputs!$B$19</f>
        <v>59796562.5</v>
      </c>
      <c r="N36" s="12">
        <f>M36*Inputs!$B$20*Inputs!$B$21*Inputs!$B$22</f>
        <v>43053.525</v>
      </c>
      <c r="O36" s="12">
        <f>Acquisition_Plan!B35*Inputs!$B$26*Inputs!$B$25</f>
        <v>44800</v>
      </c>
      <c r="P36" s="12">
        <f t="shared" si="9"/>
        <v>300000</v>
      </c>
      <c r="Q36" s="12">
        <f>Acquisition_Plan!F35</f>
        <v>0</v>
      </c>
      <c r="R36" s="12">
        <f>Acquisition_Plan!D34</f>
        <v>400000</v>
      </c>
      <c r="S36" s="12">
        <f t="shared" si="4"/>
        <v>2331037.5</v>
      </c>
      <c r="T36" s="12">
        <f t="shared" si="5"/>
        <v>1896272.275</v>
      </c>
      <c r="U36" s="12">
        <f t="shared" si="6"/>
        <v>434765.225</v>
      </c>
      <c r="V36" s="12">
        <f t="shared" si="7"/>
        <v>6774702.376</v>
      </c>
    </row>
    <row r="37" ht="15.75" customHeight="1">
      <c r="A37" s="3" t="str">
        <f>Acquisition_Plan!A36</f>
        <v>2028-09-18</v>
      </c>
      <c r="B37" s="12">
        <f t="shared" si="8"/>
        <v>6774702.376</v>
      </c>
      <c r="C37" s="12">
        <f>Baseline_Decay!B36</f>
        <v>200000</v>
      </c>
      <c r="D37" s="12">
        <f>Baseline_Decay!C36</f>
        <v>100000</v>
      </c>
      <c r="E37" s="12">
        <f t="shared" si="1"/>
        <v>100000</v>
      </c>
      <c r="F37" s="12">
        <f>New_Cohort_Rev!AI41</f>
        <v>1908125</v>
      </c>
      <c r="G37" s="12">
        <f>New_Cohort_WD!AI41</f>
        <v>591518.75</v>
      </c>
      <c r="H37" s="12">
        <f t="shared" si="2"/>
        <v>1316606.25</v>
      </c>
      <c r="I37" s="12">
        <f>PVX_Summary!B36</f>
        <v>400000</v>
      </c>
      <c r="J37" s="12">
        <f>PVX_Summary!C36</f>
        <v>420000</v>
      </c>
      <c r="K37" s="12">
        <f>PVX_Summary!D36</f>
        <v>236362.5</v>
      </c>
      <c r="L37" s="12">
        <f t="shared" si="3"/>
        <v>2108125</v>
      </c>
      <c r="M37" s="12">
        <f>L37*Inputs!$B$19</f>
        <v>60081562.5</v>
      </c>
      <c r="N37" s="12">
        <f>M37*Inputs!$B$20*Inputs!$B$21*Inputs!$B$22</f>
        <v>43258.725</v>
      </c>
      <c r="O37" s="12">
        <f>Acquisition_Plan!B36*Inputs!$B$26*Inputs!$B$25</f>
        <v>44800</v>
      </c>
      <c r="P37" s="12">
        <f t="shared" si="9"/>
        <v>300000</v>
      </c>
      <c r="Q37" s="12">
        <f>Acquisition_Plan!F36</f>
        <v>0</v>
      </c>
      <c r="R37" s="12">
        <f>Acquisition_Plan!D35</f>
        <v>400000</v>
      </c>
      <c r="S37" s="12">
        <f t="shared" si="4"/>
        <v>2344487.5</v>
      </c>
      <c r="T37" s="12">
        <f t="shared" si="5"/>
        <v>1899577.475</v>
      </c>
      <c r="U37" s="12">
        <f t="shared" si="6"/>
        <v>444910.025</v>
      </c>
      <c r="V37" s="12">
        <f t="shared" si="7"/>
        <v>7219612.401</v>
      </c>
    </row>
    <row r="38" ht="15.75" customHeight="1">
      <c r="A38" s="3" t="str">
        <f>Acquisition_Plan!A37</f>
        <v>2028-10-18</v>
      </c>
      <c r="B38" s="12">
        <f t="shared" si="8"/>
        <v>7219612.401</v>
      </c>
      <c r="C38" s="12">
        <f>Baseline_Decay!B37</f>
        <v>200000</v>
      </c>
      <c r="D38" s="12">
        <f>Baseline_Decay!C37</f>
        <v>100000</v>
      </c>
      <c r="E38" s="12">
        <f t="shared" si="1"/>
        <v>100000</v>
      </c>
      <c r="F38" s="12">
        <f>New_Cohort_Rev!AJ41</f>
        <v>1918125</v>
      </c>
      <c r="G38" s="12">
        <f>New_Cohort_WD!AJ41</f>
        <v>594618.75</v>
      </c>
      <c r="H38" s="12">
        <f t="shared" si="2"/>
        <v>1323506.25</v>
      </c>
      <c r="I38" s="12">
        <f>PVX_Summary!B37</f>
        <v>400000</v>
      </c>
      <c r="J38" s="12">
        <f>PVX_Summary!C37</f>
        <v>420000</v>
      </c>
      <c r="K38" s="12">
        <f>PVX_Summary!D37</f>
        <v>239812.5</v>
      </c>
      <c r="L38" s="12">
        <f t="shared" si="3"/>
        <v>2118125</v>
      </c>
      <c r="M38" s="12">
        <f>L38*Inputs!$B$19</f>
        <v>60366562.5</v>
      </c>
      <c r="N38" s="12">
        <f>M38*Inputs!$B$20*Inputs!$B$21*Inputs!$B$22</f>
        <v>43463.925</v>
      </c>
      <c r="O38" s="12">
        <f>Acquisition_Plan!B37*Inputs!$B$26*Inputs!$B$25</f>
        <v>44800</v>
      </c>
      <c r="P38" s="12">
        <f t="shared" si="9"/>
        <v>300000</v>
      </c>
      <c r="Q38" s="12">
        <f>Acquisition_Plan!F37</f>
        <v>0</v>
      </c>
      <c r="R38" s="12">
        <f>Acquisition_Plan!D36</f>
        <v>400000</v>
      </c>
      <c r="S38" s="12">
        <f t="shared" si="4"/>
        <v>2357937.5</v>
      </c>
      <c r="T38" s="12">
        <f t="shared" si="5"/>
        <v>1902882.675</v>
      </c>
      <c r="U38" s="12">
        <f t="shared" si="6"/>
        <v>455054.825</v>
      </c>
      <c r="V38" s="12">
        <f t="shared" si="7"/>
        <v>7674667.226</v>
      </c>
    </row>
    <row r="39" ht="15.75" customHeight="1">
      <c r="A39" s="3" t="str">
        <f>Acquisition_Plan!A38</f>
        <v>2028-11-17</v>
      </c>
      <c r="B39" s="12">
        <f t="shared" si="8"/>
        <v>7674667.226</v>
      </c>
      <c r="C39" s="12">
        <f>Baseline_Decay!B38</f>
        <v>200000</v>
      </c>
      <c r="D39" s="12">
        <f>Baseline_Decay!C38</f>
        <v>100000</v>
      </c>
      <c r="E39" s="12">
        <f t="shared" si="1"/>
        <v>100000</v>
      </c>
      <c r="F39" s="12">
        <f>New_Cohort_Rev!AK41</f>
        <v>1928125</v>
      </c>
      <c r="G39" s="12">
        <f>New_Cohort_WD!AK41</f>
        <v>597718.75</v>
      </c>
      <c r="H39" s="12">
        <f t="shared" si="2"/>
        <v>1330406.25</v>
      </c>
      <c r="I39" s="12">
        <f>PVX_Summary!B38</f>
        <v>400000</v>
      </c>
      <c r="J39" s="12">
        <f>PVX_Summary!C38</f>
        <v>420000</v>
      </c>
      <c r="K39" s="12">
        <f>PVX_Summary!D38</f>
        <v>243262.5</v>
      </c>
      <c r="L39" s="12">
        <f t="shared" si="3"/>
        <v>2128125</v>
      </c>
      <c r="M39" s="12">
        <f>L39*Inputs!$B$19</f>
        <v>60651562.5</v>
      </c>
      <c r="N39" s="12">
        <f>M39*Inputs!$B$20*Inputs!$B$21*Inputs!$B$22</f>
        <v>43669.125</v>
      </c>
      <c r="O39" s="12">
        <f>Acquisition_Plan!B38*Inputs!$B$26*Inputs!$B$25</f>
        <v>44800</v>
      </c>
      <c r="P39" s="12">
        <f t="shared" si="9"/>
        <v>300000</v>
      </c>
      <c r="Q39" s="12">
        <f>Acquisition_Plan!F38</f>
        <v>0</v>
      </c>
      <c r="R39" s="12">
        <f>Acquisition_Plan!D37</f>
        <v>400000</v>
      </c>
      <c r="S39" s="12">
        <f t="shared" si="4"/>
        <v>2371387.5</v>
      </c>
      <c r="T39" s="12">
        <f t="shared" si="5"/>
        <v>1906187.875</v>
      </c>
      <c r="U39" s="12">
        <f t="shared" si="6"/>
        <v>465199.625</v>
      </c>
      <c r="V39" s="12">
        <f t="shared" si="7"/>
        <v>8139866.851</v>
      </c>
    </row>
    <row r="40" ht="15.75" customHeight="1">
      <c r="A40" s="3" t="str">
        <f>Acquisition_Plan!A39</f>
        <v>2028-12-17</v>
      </c>
      <c r="B40" s="12">
        <f t="shared" si="8"/>
        <v>8139866.851</v>
      </c>
      <c r="C40" s="12">
        <f>Baseline_Decay!B39</f>
        <v>200000</v>
      </c>
      <c r="D40" s="12">
        <f>Baseline_Decay!C39</f>
        <v>100000</v>
      </c>
      <c r="E40" s="12">
        <f t="shared" si="1"/>
        <v>100000</v>
      </c>
      <c r="F40" s="12">
        <f>New_Cohort_Rev!AL41</f>
        <v>1938125</v>
      </c>
      <c r="G40" s="12">
        <f>New_Cohort_WD!AL41</f>
        <v>600818.75</v>
      </c>
      <c r="H40" s="12">
        <f t="shared" si="2"/>
        <v>1337306.25</v>
      </c>
      <c r="I40" s="12">
        <f>PVX_Summary!B39</f>
        <v>400000</v>
      </c>
      <c r="J40" s="12">
        <f>PVX_Summary!C39</f>
        <v>420000</v>
      </c>
      <c r="K40" s="12">
        <f>PVX_Summary!D39</f>
        <v>246712.5</v>
      </c>
      <c r="L40" s="12">
        <f t="shared" si="3"/>
        <v>2138125</v>
      </c>
      <c r="M40" s="12">
        <f>L40*Inputs!$B$19</f>
        <v>60936562.5</v>
      </c>
      <c r="N40" s="12">
        <f>M40*Inputs!$B$20*Inputs!$B$21*Inputs!$B$22</f>
        <v>43874.325</v>
      </c>
      <c r="O40" s="12">
        <f>Acquisition_Plan!B39*Inputs!$B$26*Inputs!$B$25</f>
        <v>44800</v>
      </c>
      <c r="P40" s="12">
        <f t="shared" si="9"/>
        <v>300000</v>
      </c>
      <c r="Q40" s="12">
        <f>Acquisition_Plan!F39</f>
        <v>0</v>
      </c>
      <c r="R40" s="12">
        <f>Acquisition_Plan!D38</f>
        <v>400000</v>
      </c>
      <c r="S40" s="12">
        <f t="shared" si="4"/>
        <v>2384837.5</v>
      </c>
      <c r="T40" s="12">
        <f t="shared" si="5"/>
        <v>1909493.075</v>
      </c>
      <c r="U40" s="12">
        <f t="shared" si="6"/>
        <v>475344.425</v>
      </c>
      <c r="V40" s="12">
        <f t="shared" si="7"/>
        <v>8615211.276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179</v>
      </c>
    </row>
    <row r="3">
      <c r="A3" s="9" t="s">
        <v>180</v>
      </c>
      <c r="B3" s="9" t="s">
        <v>181</v>
      </c>
      <c r="C3" s="9" t="s">
        <v>182</v>
      </c>
      <c r="D3" s="9" t="s">
        <v>183</v>
      </c>
      <c r="E3" s="9" t="s">
        <v>184</v>
      </c>
      <c r="F3" s="9" t="s">
        <v>185</v>
      </c>
      <c r="G3" s="9" t="s">
        <v>186</v>
      </c>
      <c r="H3" s="9" t="s">
        <v>187</v>
      </c>
      <c r="I3" s="9" t="s">
        <v>188</v>
      </c>
      <c r="J3" s="9" t="s">
        <v>189</v>
      </c>
      <c r="K3" s="9" t="s">
        <v>190</v>
      </c>
      <c r="L3" s="9" t="s">
        <v>191</v>
      </c>
      <c r="M3" s="9" t="s">
        <v>192</v>
      </c>
      <c r="N3" s="9" t="s">
        <v>193</v>
      </c>
      <c r="O3" s="9" t="s">
        <v>194</v>
      </c>
      <c r="P3" s="9" t="s">
        <v>195</v>
      </c>
    </row>
    <row r="4">
      <c r="A4" s="3" t="s">
        <v>49</v>
      </c>
      <c r="B4" s="3">
        <v>0.0</v>
      </c>
      <c r="C4" s="3" t="s">
        <v>49</v>
      </c>
      <c r="D4" s="3">
        <v>47087.0</v>
      </c>
      <c r="E4" s="3">
        <v>83561.57436800002</v>
      </c>
      <c r="F4" s="3">
        <v>0.0</v>
      </c>
      <c r="G4" s="3">
        <v>4190.875971674141</v>
      </c>
      <c r="H4" s="3">
        <v>27.064</v>
      </c>
      <c r="I4" s="3">
        <v>5367.482499999979</v>
      </c>
      <c r="J4" s="3">
        <v>9585.42247167412</v>
      </c>
      <c r="K4" s="3">
        <v>9585.42247167412</v>
      </c>
      <c r="L4" s="3">
        <v>0.1147108888765129</v>
      </c>
      <c r="M4" s="3">
        <v>0.9379178946</v>
      </c>
      <c r="N4" s="3">
        <v>9584.48455377952</v>
      </c>
      <c r="O4" s="3">
        <v>9584.48455377952</v>
      </c>
      <c r="P4" s="3">
        <v>5.7</v>
      </c>
    </row>
    <row r="5">
      <c r="A5" s="3" t="s">
        <v>49</v>
      </c>
      <c r="B5" s="3">
        <v>1.0</v>
      </c>
      <c r="C5" s="3" t="s">
        <v>196</v>
      </c>
      <c r="D5" s="3">
        <v>47087.0</v>
      </c>
      <c r="E5" s="3">
        <v>83561.57436800002</v>
      </c>
      <c r="F5" s="3">
        <v>0.0</v>
      </c>
      <c r="G5" s="3">
        <v>6474.923540936271</v>
      </c>
      <c r="H5" s="3">
        <v>87.55999999999996</v>
      </c>
      <c r="I5" s="3">
        <v>8331.075499999748</v>
      </c>
      <c r="J5" s="3">
        <v>14893.55904093602</v>
      </c>
      <c r="K5" s="3">
        <v>24478.98151261014</v>
      </c>
      <c r="L5" s="3">
        <v>0.2929454321289617</v>
      </c>
      <c r="M5" s="3">
        <v>1137.7253597354</v>
      </c>
      <c r="N5" s="3">
        <v>13755.83368120062</v>
      </c>
      <c r="O5" s="3">
        <v>23340.31823498014</v>
      </c>
      <c r="P5" s="3">
        <v>5.7</v>
      </c>
    </row>
    <row r="6">
      <c r="A6" s="3" t="s">
        <v>49</v>
      </c>
      <c r="B6" s="3">
        <v>2.0</v>
      </c>
      <c r="C6" s="3" t="s">
        <v>197</v>
      </c>
      <c r="D6" s="3">
        <v>47087.0</v>
      </c>
      <c r="E6" s="3">
        <v>83561.57436800002</v>
      </c>
      <c r="F6" s="3">
        <v>0.0</v>
      </c>
      <c r="G6" s="3">
        <v>9207.20817417054</v>
      </c>
      <c r="H6" s="3">
        <v>98.70399999999997</v>
      </c>
      <c r="I6" s="3">
        <v>8610.921499999788</v>
      </c>
      <c r="J6" s="3">
        <v>17916.83367417033</v>
      </c>
      <c r="K6" s="3">
        <v>42395.81518678047</v>
      </c>
      <c r="L6" s="3">
        <v>0.5073601772995793</v>
      </c>
      <c r="M6" s="3">
        <v>1535.7439932182</v>
      </c>
      <c r="N6" s="3">
        <v>16381.08968095213</v>
      </c>
      <c r="O6" s="3">
        <v>39721.40791593226</v>
      </c>
      <c r="P6" s="3">
        <v>5.7</v>
      </c>
    </row>
    <row r="7">
      <c r="A7" s="3" t="s">
        <v>49</v>
      </c>
      <c r="B7" s="3">
        <v>3.0</v>
      </c>
      <c r="C7" s="3" t="s">
        <v>198</v>
      </c>
      <c r="D7" s="3">
        <v>47087.0</v>
      </c>
      <c r="E7" s="3">
        <v>83561.57436800002</v>
      </c>
      <c r="F7" s="3">
        <v>0.0</v>
      </c>
      <c r="G7" s="3">
        <v>7555.812488720596</v>
      </c>
      <c r="H7" s="3">
        <v>60.49599999999997</v>
      </c>
      <c r="I7" s="3">
        <v>12357.14299999959</v>
      </c>
      <c r="J7" s="3">
        <v>19973.45148872019</v>
      </c>
      <c r="K7" s="3">
        <v>62369.26667550066</v>
      </c>
      <c r="L7" s="3">
        <v>0.746386926613305</v>
      </c>
      <c r="M7" s="3">
        <v>2586.7150582003</v>
      </c>
      <c r="N7" s="3">
        <v>17386.73643051989</v>
      </c>
      <c r="O7" s="3">
        <v>57108.14434645215</v>
      </c>
      <c r="P7" s="3">
        <v>5.7</v>
      </c>
    </row>
    <row r="8">
      <c r="A8" s="3" t="s">
        <v>49</v>
      </c>
      <c r="B8" s="3">
        <v>4.0</v>
      </c>
      <c r="C8" s="3" t="s">
        <v>199</v>
      </c>
      <c r="D8" s="3">
        <v>47087.0</v>
      </c>
      <c r="E8" s="3">
        <v>83561.57436800002</v>
      </c>
      <c r="F8" s="3">
        <v>0.0</v>
      </c>
      <c r="G8" s="3">
        <v>9517.94374296201</v>
      </c>
      <c r="H8" s="3">
        <v>46.16799999999999</v>
      </c>
      <c r="I8" s="3">
        <v>9889.956499999724</v>
      </c>
      <c r="J8" s="3">
        <v>19454.06824296173</v>
      </c>
      <c r="K8" s="3">
        <v>81823.3349184624</v>
      </c>
      <c r="L8" s="3">
        <v>0.9791981007695892</v>
      </c>
      <c r="M8" s="3">
        <v>4159.5295101221</v>
      </c>
      <c r="N8" s="3">
        <v>15294.53873283963</v>
      </c>
      <c r="O8" s="3">
        <v>72402.68307929179</v>
      </c>
      <c r="P8" s="3">
        <v>5.7</v>
      </c>
    </row>
    <row r="9">
      <c r="A9" s="3" t="s">
        <v>49</v>
      </c>
      <c r="B9" s="3">
        <v>5.0</v>
      </c>
      <c r="C9" s="3" t="s">
        <v>200</v>
      </c>
      <c r="D9" s="3">
        <v>47087.0</v>
      </c>
      <c r="E9" s="3">
        <v>83561.57436800002</v>
      </c>
      <c r="F9" s="3">
        <v>0.0</v>
      </c>
      <c r="G9" s="3">
        <v>4908.306161336646</v>
      </c>
      <c r="H9" s="3">
        <v>35.02399999999999</v>
      </c>
      <c r="I9" s="3">
        <v>4402.725499999975</v>
      </c>
      <c r="J9" s="3">
        <v>9346.05566133662</v>
      </c>
      <c r="K9" s="3">
        <v>91169.39057979902</v>
      </c>
      <c r="L9" s="3">
        <v>1.091044433632792</v>
      </c>
      <c r="M9" s="3">
        <v>3670.320014922501</v>
      </c>
      <c r="N9" s="3">
        <v>5675.73564641412</v>
      </c>
      <c r="O9" s="3">
        <v>78078.41872570591</v>
      </c>
      <c r="P9" s="3">
        <v>5.7</v>
      </c>
    </row>
    <row r="10">
      <c r="A10" s="3" t="s">
        <v>49</v>
      </c>
      <c r="B10" s="3">
        <v>6.0</v>
      </c>
      <c r="C10" s="3" t="s">
        <v>201</v>
      </c>
      <c r="D10" s="3">
        <v>47087.0</v>
      </c>
      <c r="E10" s="3">
        <v>83561.57436800002</v>
      </c>
      <c r="F10" s="3">
        <v>0.0</v>
      </c>
      <c r="G10" s="3">
        <v>4576.136369072208</v>
      </c>
      <c r="H10" s="3">
        <v>36.61599999999999</v>
      </c>
      <c r="I10" s="3">
        <v>6217.495499999889</v>
      </c>
      <c r="J10" s="3">
        <v>10830.2478690721</v>
      </c>
      <c r="K10" s="3">
        <v>101999.6384488711</v>
      </c>
      <c r="L10" s="3">
        <v>1.22065242571509</v>
      </c>
      <c r="M10" s="3">
        <v>2473.5993514825</v>
      </c>
      <c r="N10" s="3">
        <v>8356.648517589596</v>
      </c>
      <c r="O10" s="3">
        <v>86435.0672432955</v>
      </c>
      <c r="P10" s="3">
        <v>5.7</v>
      </c>
    </row>
    <row r="11">
      <c r="A11" s="3" t="s">
        <v>49</v>
      </c>
      <c r="B11" s="3">
        <v>7.0</v>
      </c>
      <c r="C11" s="3" t="s">
        <v>202</v>
      </c>
      <c r="D11" s="3">
        <v>47087.0</v>
      </c>
      <c r="E11" s="3">
        <v>83561.57436800002</v>
      </c>
      <c r="F11" s="3">
        <v>0.0</v>
      </c>
      <c r="G11" s="3">
        <v>2912.218719109592</v>
      </c>
      <c r="H11" s="3">
        <v>47.75999999999998</v>
      </c>
      <c r="I11" s="3">
        <v>6755.546999999882</v>
      </c>
      <c r="J11" s="3">
        <v>9715.525719109472</v>
      </c>
      <c r="K11" s="3">
        <v>111715.1641679806</v>
      </c>
      <c r="L11" s="3">
        <v>1.336920289174949</v>
      </c>
      <c r="M11" s="3">
        <v>2242.5895159666</v>
      </c>
      <c r="N11" s="3">
        <v>7472.936203142874</v>
      </c>
      <c r="O11" s="3">
        <v>93908.00344643838</v>
      </c>
      <c r="P11" s="3">
        <v>5.7</v>
      </c>
    </row>
    <row r="12">
      <c r="A12" s="3" t="s">
        <v>49</v>
      </c>
      <c r="B12" s="3">
        <v>8.0</v>
      </c>
      <c r="C12" s="3" t="s">
        <v>203</v>
      </c>
      <c r="D12" s="3">
        <v>47087.0</v>
      </c>
      <c r="E12" s="3">
        <v>83561.57436800002</v>
      </c>
      <c r="F12" s="3">
        <v>0.0</v>
      </c>
      <c r="G12" s="3">
        <v>2135.8577619685</v>
      </c>
      <c r="H12" s="3">
        <v>28.656</v>
      </c>
      <c r="I12" s="3">
        <v>6959.825999999891</v>
      </c>
      <c r="J12" s="3">
        <v>9124.33976196839</v>
      </c>
      <c r="K12" s="3">
        <v>120839.503929949</v>
      </c>
      <c r="L12" s="3">
        <v>1.446113298413686</v>
      </c>
      <c r="M12" s="3">
        <v>1979.3601377693</v>
      </c>
      <c r="N12" s="3">
        <v>7144.97962419909</v>
      </c>
      <c r="O12" s="3">
        <v>101052.9830706375</v>
      </c>
      <c r="P12" s="3">
        <v>5.7</v>
      </c>
    </row>
    <row r="13">
      <c r="A13" s="3" t="s">
        <v>49</v>
      </c>
      <c r="B13" s="3">
        <v>9.0</v>
      </c>
      <c r="C13" s="3" t="s">
        <v>204</v>
      </c>
      <c r="D13" s="3">
        <v>47087.0</v>
      </c>
      <c r="E13" s="3">
        <v>83561.57436800002</v>
      </c>
      <c r="F13" s="3">
        <v>0.0</v>
      </c>
      <c r="G13" s="3">
        <v>1432.436386393449</v>
      </c>
      <c r="H13" s="3">
        <v>15.92</v>
      </c>
      <c r="I13" s="3">
        <v>6412.571499999932</v>
      </c>
      <c r="J13" s="3">
        <v>7860.927886393381</v>
      </c>
      <c r="K13" s="3">
        <v>128700.4318163424</v>
      </c>
      <c r="L13" s="3">
        <v>1.540186775916328</v>
      </c>
      <c r="M13" s="3">
        <v>990.2794480243</v>
      </c>
      <c r="N13" s="3">
        <v>6870.648438369081</v>
      </c>
      <c r="O13" s="3">
        <v>107923.6315090066</v>
      </c>
      <c r="P13" s="3">
        <v>5.7</v>
      </c>
    </row>
    <row r="14">
      <c r="A14" s="3" t="s">
        <v>49</v>
      </c>
      <c r="B14" s="3">
        <v>10.0</v>
      </c>
      <c r="C14" s="3" t="s">
        <v>205</v>
      </c>
      <c r="D14" s="3">
        <v>47087.0</v>
      </c>
      <c r="E14" s="3">
        <v>83561.57436800002</v>
      </c>
      <c r="F14" s="3">
        <v>0.0</v>
      </c>
      <c r="G14" s="3">
        <v>1607.543172654812</v>
      </c>
      <c r="H14" s="3">
        <v>30.248</v>
      </c>
      <c r="I14" s="3">
        <v>5200.441999999931</v>
      </c>
      <c r="J14" s="3">
        <v>6838.233172654743</v>
      </c>
      <c r="K14" s="3">
        <v>135538.6649889971</v>
      </c>
      <c r="L14" s="3">
        <v>1.622021437653786</v>
      </c>
      <c r="M14" s="3">
        <v>1863.4848245954</v>
      </c>
      <c r="N14" s="3">
        <v>4974.748348059343</v>
      </c>
      <c r="O14" s="3">
        <v>112898.3798570659</v>
      </c>
      <c r="P14" s="3">
        <v>5.7</v>
      </c>
    </row>
    <row r="15">
      <c r="A15" s="3" t="s">
        <v>49</v>
      </c>
      <c r="B15" s="3">
        <v>11.0</v>
      </c>
      <c r="C15" s="3" t="s">
        <v>206</v>
      </c>
      <c r="D15" s="3">
        <v>47087.0</v>
      </c>
      <c r="E15" s="3">
        <v>83561.57436800002</v>
      </c>
      <c r="F15" s="3">
        <v>0.0</v>
      </c>
      <c r="G15" s="3">
        <v>2399.890307560418</v>
      </c>
      <c r="H15" s="3">
        <v>42.98399999999999</v>
      </c>
      <c r="I15" s="3">
        <v>2988.226000000005</v>
      </c>
      <c r="J15" s="3">
        <v>5431.100307560422</v>
      </c>
      <c r="K15" s="3">
        <v>140969.7652965575</v>
      </c>
      <c r="L15" s="3">
        <v>1.687016626514663</v>
      </c>
      <c r="M15" s="3">
        <v>1491.2811775291</v>
      </c>
      <c r="N15" s="3">
        <v>3939.819130031321</v>
      </c>
      <c r="O15" s="3">
        <v>116838.1989870972</v>
      </c>
      <c r="P15" s="3">
        <v>5.7</v>
      </c>
    </row>
    <row r="16">
      <c r="A16" s="3" t="s">
        <v>49</v>
      </c>
      <c r="B16" s="3">
        <v>12.0</v>
      </c>
      <c r="C16" s="3" t="s">
        <v>207</v>
      </c>
      <c r="D16" s="3">
        <v>47087.0</v>
      </c>
      <c r="E16" s="3">
        <v>83561.57436800002</v>
      </c>
      <c r="F16" s="3">
        <v>0.0</v>
      </c>
      <c r="G16" s="3">
        <v>1234.521555291075</v>
      </c>
      <c r="H16" s="3">
        <v>25.472</v>
      </c>
      <c r="I16" s="3">
        <v>3619.512499999962</v>
      </c>
      <c r="J16" s="3">
        <v>4879.506055291036</v>
      </c>
      <c r="K16" s="3">
        <v>145849.2713518486</v>
      </c>
      <c r="L16" s="3">
        <v>1.745410763918083</v>
      </c>
      <c r="M16" s="3">
        <v>1473.3499137941</v>
      </c>
      <c r="N16" s="3">
        <v>3406.156141496936</v>
      </c>
      <c r="O16" s="3">
        <v>120244.3551285941</v>
      </c>
      <c r="P16" s="3">
        <v>5.7</v>
      </c>
    </row>
    <row r="17">
      <c r="A17" s="3" t="s">
        <v>49</v>
      </c>
      <c r="B17" s="3">
        <v>13.0</v>
      </c>
      <c r="C17" s="3" t="s">
        <v>52</v>
      </c>
      <c r="D17" s="3">
        <v>47087.0</v>
      </c>
      <c r="E17" s="3">
        <v>83561.57436800002</v>
      </c>
      <c r="F17" s="3">
        <v>0.0</v>
      </c>
      <c r="G17" s="3">
        <v>1252.229700862727</v>
      </c>
      <c r="H17" s="3">
        <v>15.92</v>
      </c>
      <c r="I17" s="3">
        <v>4576.621499999957</v>
      </c>
      <c r="J17" s="3">
        <v>5844.771200862684</v>
      </c>
      <c r="K17" s="3">
        <v>151694.0425527113</v>
      </c>
      <c r="L17" s="3">
        <v>1.81535644463399</v>
      </c>
      <c r="M17" s="3">
        <v>1283.1144888682</v>
      </c>
      <c r="N17" s="3">
        <v>4561.656711994484</v>
      </c>
      <c r="O17" s="3">
        <v>124806.0118405886</v>
      </c>
      <c r="P17" s="3">
        <v>5.7</v>
      </c>
    </row>
    <row r="18">
      <c r="A18" s="3" t="s">
        <v>49</v>
      </c>
      <c r="B18" s="3">
        <v>14.0</v>
      </c>
      <c r="C18" s="3" t="s">
        <v>208</v>
      </c>
      <c r="D18" s="3">
        <v>47087.0</v>
      </c>
      <c r="E18" s="3">
        <v>83561.57436800002</v>
      </c>
      <c r="F18" s="3">
        <v>0.0</v>
      </c>
      <c r="G18" s="3">
        <v>669.677775080181</v>
      </c>
      <c r="H18" s="3">
        <v>11.144</v>
      </c>
      <c r="I18" s="3">
        <v>2771.174500000004</v>
      </c>
      <c r="J18" s="3">
        <v>3451.996275080185</v>
      </c>
      <c r="K18" s="3">
        <v>155146.0388277915</v>
      </c>
      <c r="L18" s="3">
        <v>1.856667254072283</v>
      </c>
      <c r="M18" s="3">
        <v>1511.0886962757</v>
      </c>
      <c r="N18" s="3">
        <v>1940.907578804485</v>
      </c>
      <c r="O18" s="3">
        <v>126746.9194193931</v>
      </c>
      <c r="P18" s="3">
        <v>5.7</v>
      </c>
    </row>
    <row r="19">
      <c r="A19" s="3" t="s">
        <v>49</v>
      </c>
      <c r="B19" s="3">
        <v>15.0</v>
      </c>
      <c r="C19" s="3" t="s">
        <v>209</v>
      </c>
      <c r="D19" s="3">
        <v>47087.0</v>
      </c>
      <c r="E19" s="3">
        <v>83561.57436800002</v>
      </c>
      <c r="F19" s="3">
        <v>0.0</v>
      </c>
      <c r="G19" s="3">
        <v>735.5642029404677</v>
      </c>
      <c r="H19" s="3">
        <v>22.288</v>
      </c>
      <c r="I19" s="3">
        <v>2706.473500000004</v>
      </c>
      <c r="J19" s="3">
        <v>3464.325702940472</v>
      </c>
      <c r="K19" s="3">
        <v>158610.3645307319</v>
      </c>
      <c r="L19" s="3">
        <v>1.898125612524025</v>
      </c>
      <c r="M19" s="3">
        <v>1133.2060356486</v>
      </c>
      <c r="N19" s="3">
        <v>2331.119667291872</v>
      </c>
      <c r="O19" s="3">
        <v>129078.039086685</v>
      </c>
      <c r="P19" s="3">
        <v>5.7</v>
      </c>
    </row>
    <row r="20">
      <c r="A20" s="3" t="s">
        <v>49</v>
      </c>
      <c r="B20" s="3">
        <v>16.0</v>
      </c>
      <c r="C20" s="3" t="s">
        <v>210</v>
      </c>
      <c r="D20" s="3">
        <v>47087.0</v>
      </c>
      <c r="E20" s="3">
        <v>83561.57436800002</v>
      </c>
      <c r="F20" s="3">
        <v>0.0</v>
      </c>
      <c r="G20" s="3">
        <v>982.5166393068112</v>
      </c>
      <c r="H20" s="3">
        <v>28.656</v>
      </c>
      <c r="I20" s="3">
        <v>1669.718500000001</v>
      </c>
      <c r="J20" s="3">
        <v>2680.891139306812</v>
      </c>
      <c r="K20" s="3">
        <v>161291.2556700388</v>
      </c>
      <c r="L20" s="3">
        <v>1.9302084347971</v>
      </c>
      <c r="M20" s="3">
        <v>978.6298745655</v>
      </c>
      <c r="N20" s="3">
        <v>1702.261264741312</v>
      </c>
      <c r="O20" s="3">
        <v>130780.3003514263</v>
      </c>
      <c r="P20" s="3">
        <v>5.7</v>
      </c>
    </row>
    <row r="21" ht="15.75" customHeight="1">
      <c r="A21" s="3" t="s">
        <v>49</v>
      </c>
      <c r="B21" s="3">
        <v>17.0</v>
      </c>
      <c r="C21" s="3" t="s">
        <v>211</v>
      </c>
      <c r="D21" s="3">
        <v>47087.0</v>
      </c>
      <c r="E21" s="3">
        <v>83561.57436800002</v>
      </c>
      <c r="F21" s="3">
        <v>0.0</v>
      </c>
      <c r="G21" s="3">
        <v>536.6026738609052</v>
      </c>
      <c r="H21" s="3">
        <v>14.328</v>
      </c>
      <c r="I21" s="3">
        <v>1602.956000000001</v>
      </c>
      <c r="J21" s="3">
        <v>2153.886673860906</v>
      </c>
      <c r="K21" s="3">
        <v>163445.1423438996</v>
      </c>
      <c r="L21" s="3">
        <v>1.955984477076716</v>
      </c>
      <c r="M21" s="3">
        <v>1372.5943429002</v>
      </c>
      <c r="N21" s="3">
        <v>781.2923309607063</v>
      </c>
      <c r="O21" s="3">
        <v>131561.592682387</v>
      </c>
      <c r="P21" s="3">
        <v>5.7</v>
      </c>
    </row>
    <row r="22" ht="15.75" customHeight="1">
      <c r="A22" s="3" t="s">
        <v>49</v>
      </c>
      <c r="B22" s="3">
        <v>18.0</v>
      </c>
      <c r="C22" s="3" t="s">
        <v>212</v>
      </c>
      <c r="D22" s="3">
        <v>47087.0</v>
      </c>
      <c r="E22" s="3">
        <v>83561.57436800002</v>
      </c>
      <c r="F22" s="3">
        <v>0.0</v>
      </c>
      <c r="G22" s="3">
        <v>883.7920633339133</v>
      </c>
      <c r="H22" s="3">
        <v>15.92</v>
      </c>
      <c r="I22" s="3">
        <v>1828.272000000003</v>
      </c>
      <c r="J22" s="3">
        <v>2727.984063333916</v>
      </c>
      <c r="K22" s="3">
        <v>166173.1264072336</v>
      </c>
      <c r="L22" s="3">
        <v>1.988630870876336</v>
      </c>
      <c r="M22" s="3">
        <v>1533.1479181483</v>
      </c>
      <c r="N22" s="3">
        <v>1194.836145185616</v>
      </c>
      <c r="O22" s="3">
        <v>132756.4288275726</v>
      </c>
      <c r="P22" s="3">
        <v>5.7</v>
      </c>
    </row>
    <row r="23" ht="15.75" customHeight="1">
      <c r="A23" s="3" t="s">
        <v>49</v>
      </c>
      <c r="B23" s="3">
        <v>19.0</v>
      </c>
      <c r="C23" s="3" t="s">
        <v>213</v>
      </c>
      <c r="D23" s="3">
        <v>47087.0</v>
      </c>
      <c r="E23" s="3">
        <v>83561.57436800002</v>
      </c>
      <c r="F23" s="3">
        <v>0.0</v>
      </c>
      <c r="G23" s="3">
        <v>735.4711514302764</v>
      </c>
      <c r="H23" s="3">
        <v>11.144</v>
      </c>
      <c r="I23" s="3">
        <v>1737.496000000004</v>
      </c>
      <c r="J23" s="3">
        <v>2484.111151430281</v>
      </c>
      <c r="K23" s="3">
        <v>168657.2375586639</v>
      </c>
      <c r="L23" s="3">
        <v>2.018358783140056</v>
      </c>
      <c r="M23" s="3">
        <v>1565.655227756</v>
      </c>
      <c r="N23" s="3">
        <v>918.4559236742804</v>
      </c>
      <c r="O23" s="3">
        <v>133674.8847512469</v>
      </c>
      <c r="P23" s="3">
        <v>5.7</v>
      </c>
    </row>
    <row r="24" ht="15.75" customHeight="1">
      <c r="A24" s="3" t="s">
        <v>49</v>
      </c>
      <c r="B24" s="3">
        <v>20.0</v>
      </c>
      <c r="C24" s="3" t="s">
        <v>214</v>
      </c>
      <c r="D24" s="3">
        <v>47087.0</v>
      </c>
      <c r="E24" s="3">
        <v>83561.57436800002</v>
      </c>
      <c r="F24" s="3">
        <v>0.0</v>
      </c>
      <c r="G24" s="3">
        <v>352.4606235949678</v>
      </c>
      <c r="H24" s="3">
        <v>19.104</v>
      </c>
      <c r="I24" s="3">
        <v>1414.833400000002</v>
      </c>
      <c r="J24" s="3">
        <v>1786.39802359497</v>
      </c>
      <c r="K24" s="3">
        <v>170443.6355822588</v>
      </c>
      <c r="L24" s="3">
        <v>2.039737006768632</v>
      </c>
      <c r="M24" s="3">
        <v>1308.8249290609</v>
      </c>
      <c r="N24" s="3">
        <v>477.5730945340695</v>
      </c>
      <c r="O24" s="3">
        <v>134152.457845781</v>
      </c>
      <c r="P24" s="3">
        <v>5.7</v>
      </c>
    </row>
    <row r="25" ht="15.75" customHeight="1">
      <c r="A25" s="3" t="s">
        <v>49</v>
      </c>
      <c r="B25" s="3">
        <v>21.0</v>
      </c>
      <c r="C25" s="3" t="s">
        <v>215</v>
      </c>
      <c r="D25" s="3">
        <v>47087.0</v>
      </c>
      <c r="E25" s="3">
        <v>83561.57436800002</v>
      </c>
      <c r="F25" s="3">
        <v>0.0</v>
      </c>
      <c r="G25" s="3">
        <v>644.7937067571424</v>
      </c>
      <c r="H25" s="3">
        <v>6.368</v>
      </c>
      <c r="I25" s="3">
        <v>2811.615000000004</v>
      </c>
      <c r="J25" s="3">
        <v>3462.776706757147</v>
      </c>
      <c r="K25" s="3">
        <v>173906.4122890159</v>
      </c>
      <c r="L25" s="3">
        <v>2.081176828037524</v>
      </c>
      <c r="M25" s="3">
        <v>1901.512959331</v>
      </c>
      <c r="N25" s="3">
        <v>1561.263747426147</v>
      </c>
      <c r="O25" s="3">
        <v>135713.7215932071</v>
      </c>
      <c r="P25" s="3">
        <v>5.7</v>
      </c>
    </row>
    <row r="26" ht="15.75" customHeight="1">
      <c r="A26" s="3" t="s">
        <v>49</v>
      </c>
      <c r="B26" s="3">
        <v>22.0</v>
      </c>
      <c r="C26" s="3" t="s">
        <v>216</v>
      </c>
      <c r="D26" s="3">
        <v>47087.0</v>
      </c>
      <c r="E26" s="3">
        <v>83561.57436800002</v>
      </c>
      <c r="F26" s="3">
        <v>0.0</v>
      </c>
      <c r="G26" s="3">
        <v>618.3111174425374</v>
      </c>
      <c r="H26" s="3">
        <v>7.960000000000001</v>
      </c>
      <c r="I26" s="3">
        <v>1702.712800000002</v>
      </c>
      <c r="J26" s="3">
        <v>2328.98391744254</v>
      </c>
      <c r="K26" s="3">
        <v>176235.3962064585</v>
      </c>
      <c r="L26" s="3">
        <v>2.109048298088888</v>
      </c>
      <c r="M26" s="3">
        <v>1759.5827940486</v>
      </c>
      <c r="N26" s="3">
        <v>569.4011233939395</v>
      </c>
      <c r="O26" s="3">
        <v>136283.1227166011</v>
      </c>
      <c r="P26" s="3">
        <v>5.7</v>
      </c>
    </row>
    <row r="27" ht="15.75" customHeight="1">
      <c r="A27" s="3" t="s">
        <v>49</v>
      </c>
      <c r="B27" s="3">
        <v>23.0</v>
      </c>
      <c r="C27" s="3" t="s">
        <v>217</v>
      </c>
      <c r="D27" s="3">
        <v>47087.0</v>
      </c>
      <c r="E27" s="3">
        <v>83561.57436800002</v>
      </c>
      <c r="F27" s="3">
        <v>0.0</v>
      </c>
      <c r="G27" s="3">
        <v>347.4078667927151</v>
      </c>
      <c r="H27" s="3">
        <v>14.328</v>
      </c>
      <c r="I27" s="3">
        <v>1315.424900000001</v>
      </c>
      <c r="J27" s="3">
        <v>1677.160766792716</v>
      </c>
      <c r="K27" s="3">
        <v>177912.5569732512</v>
      </c>
      <c r="L27" s="3">
        <v>2.129119255098465</v>
      </c>
      <c r="M27" s="3">
        <v>515.1490832263</v>
      </c>
      <c r="N27" s="3">
        <v>1162.011683566416</v>
      </c>
      <c r="O27" s="3">
        <v>137445.1344001675</v>
      </c>
      <c r="P27" s="3">
        <v>5.7</v>
      </c>
    </row>
    <row r="28" ht="15.75" customHeight="1">
      <c r="A28" s="3" t="s">
        <v>49</v>
      </c>
      <c r="B28" s="3">
        <v>24.0</v>
      </c>
      <c r="C28" s="3" t="s">
        <v>218</v>
      </c>
      <c r="D28" s="3">
        <v>47087.0</v>
      </c>
      <c r="E28" s="3">
        <v>83561.57436800002</v>
      </c>
      <c r="F28" s="3">
        <v>0.0</v>
      </c>
      <c r="G28" s="3">
        <v>480.7890334142068</v>
      </c>
      <c r="H28" s="3">
        <v>19.104</v>
      </c>
      <c r="I28" s="3">
        <v>2207.710800000003</v>
      </c>
      <c r="J28" s="3">
        <v>2707.60383341421</v>
      </c>
      <c r="K28" s="3">
        <v>180620.1608066654</v>
      </c>
      <c r="L28" s="3">
        <v>2.16152175414055</v>
      </c>
      <c r="M28" s="3">
        <v>1685.0181188022</v>
      </c>
      <c r="N28" s="3">
        <v>1022.58571461201</v>
      </c>
      <c r="O28" s="3">
        <v>138467.7201147795</v>
      </c>
      <c r="P28" s="3">
        <v>5.7</v>
      </c>
    </row>
    <row r="29" ht="15.75" customHeight="1">
      <c r="A29" s="3" t="s">
        <v>49</v>
      </c>
      <c r="B29" s="3">
        <v>25.0</v>
      </c>
      <c r="C29" s="3" t="s">
        <v>219</v>
      </c>
      <c r="D29" s="3">
        <v>47087.0</v>
      </c>
      <c r="E29" s="3">
        <v>83561.57436800002</v>
      </c>
      <c r="F29" s="3">
        <v>0.0</v>
      </c>
      <c r="G29" s="3">
        <v>229.1400450201372</v>
      </c>
      <c r="H29" s="3">
        <v>14.328</v>
      </c>
      <c r="I29" s="3">
        <v>2420.534200000001</v>
      </c>
      <c r="J29" s="3">
        <v>2664.002245020138</v>
      </c>
      <c r="K29" s="3">
        <v>183284.1630516856</v>
      </c>
      <c r="L29" s="3">
        <v>2.193402463248399</v>
      </c>
      <c r="M29" s="3">
        <v>687.0306204650001</v>
      </c>
      <c r="N29" s="3">
        <v>1976.971624555138</v>
      </c>
      <c r="O29" s="3">
        <v>140444.6917393346</v>
      </c>
      <c r="P29" s="3">
        <v>5.7</v>
      </c>
    </row>
    <row r="30" ht="15.75" customHeight="1">
      <c r="A30" s="3" t="s">
        <v>49</v>
      </c>
      <c r="B30" s="3">
        <v>26.0</v>
      </c>
      <c r="C30" s="3" t="s">
        <v>220</v>
      </c>
      <c r="D30" s="3">
        <v>47087.0</v>
      </c>
      <c r="E30" s="3">
        <v>83561.57436800002</v>
      </c>
      <c r="F30" s="3">
        <v>0.0</v>
      </c>
      <c r="G30" s="3">
        <v>333.1873357943812</v>
      </c>
      <c r="H30" s="3">
        <v>1.592</v>
      </c>
      <c r="I30" s="3">
        <v>1261.558200000002</v>
      </c>
      <c r="J30" s="3">
        <v>1596.337535794383</v>
      </c>
      <c r="K30" s="3">
        <v>184880.50058748</v>
      </c>
      <c r="L30" s="3">
        <v>2.212506190623906</v>
      </c>
      <c r="M30" s="3">
        <v>1446.0988496493</v>
      </c>
      <c r="N30" s="3">
        <v>150.2386861450827</v>
      </c>
      <c r="O30" s="3">
        <v>140594.9304254797</v>
      </c>
      <c r="P30" s="3">
        <v>5.7</v>
      </c>
    </row>
    <row r="31" ht="15.75" customHeight="1">
      <c r="A31" s="3" t="s">
        <v>49</v>
      </c>
      <c r="B31" s="3">
        <v>27.0</v>
      </c>
      <c r="C31" s="3" t="s">
        <v>221</v>
      </c>
      <c r="D31" s="3">
        <v>47087.0</v>
      </c>
      <c r="E31" s="3">
        <v>83561.57436800002</v>
      </c>
      <c r="F31" s="3">
        <v>0.0</v>
      </c>
      <c r="G31" s="3">
        <v>325.4580202759889</v>
      </c>
      <c r="H31" s="3">
        <v>9.552</v>
      </c>
      <c r="I31" s="3">
        <v>903.4014000000012</v>
      </c>
      <c r="J31" s="3">
        <v>1238.41142027599</v>
      </c>
      <c r="K31" s="3">
        <v>186118.9120077559</v>
      </c>
      <c r="L31" s="3">
        <v>2.227326536334748</v>
      </c>
      <c r="M31" s="3">
        <v>631.1987429261001</v>
      </c>
      <c r="N31" s="3">
        <v>607.2126773498901</v>
      </c>
      <c r="O31" s="3">
        <v>141202.1431028296</v>
      </c>
      <c r="P31" s="3">
        <v>5.7</v>
      </c>
    </row>
    <row r="32" ht="15.75" customHeight="1">
      <c r="A32" s="3" t="s">
        <v>49</v>
      </c>
      <c r="B32" s="3">
        <v>28.0</v>
      </c>
      <c r="C32" s="3" t="s">
        <v>222</v>
      </c>
      <c r="D32" s="3">
        <v>47087.0</v>
      </c>
      <c r="E32" s="3">
        <v>83561.57436800002</v>
      </c>
      <c r="F32" s="3">
        <v>0.0</v>
      </c>
      <c r="G32" s="3">
        <v>405.2948721963446</v>
      </c>
      <c r="H32" s="3">
        <v>14.328</v>
      </c>
      <c r="I32" s="3">
        <v>1043.772900000002</v>
      </c>
      <c r="J32" s="3">
        <v>1463.395772196346</v>
      </c>
      <c r="K32" s="3">
        <v>187582.3077799523</v>
      </c>
      <c r="L32" s="3">
        <v>2.24483931997082</v>
      </c>
      <c r="M32" s="3">
        <v>1736.3966891069</v>
      </c>
      <c r="N32" s="3">
        <v>-273.0009169105538</v>
      </c>
      <c r="O32" s="3">
        <v>140929.142185919</v>
      </c>
      <c r="P32" s="3">
        <v>5.7</v>
      </c>
    </row>
    <row r="33" ht="15.75" customHeight="1">
      <c r="A33" s="3" t="s">
        <v>49</v>
      </c>
      <c r="B33" s="3">
        <v>29.0</v>
      </c>
      <c r="C33" s="3" t="s">
        <v>223</v>
      </c>
      <c r="D33" s="3">
        <v>47087.0</v>
      </c>
      <c r="E33" s="3">
        <v>83561.57436800002</v>
      </c>
      <c r="F33" s="3">
        <v>0.0</v>
      </c>
      <c r="G33" s="3">
        <v>274.3234778383671</v>
      </c>
      <c r="H33" s="3">
        <v>19.104</v>
      </c>
      <c r="I33" s="3">
        <v>1588.054600000001</v>
      </c>
      <c r="J33" s="3">
        <v>1881.482077838368</v>
      </c>
      <c r="K33" s="3">
        <v>189463.7898577906</v>
      </c>
      <c r="L33" s="3">
        <v>2.267355435686309</v>
      </c>
      <c r="M33" s="3">
        <v>1034.1865421703</v>
      </c>
      <c r="N33" s="3">
        <v>847.2955356680679</v>
      </c>
      <c r="O33" s="3">
        <v>141776.4377215871</v>
      </c>
      <c r="P33" s="3">
        <v>5.7</v>
      </c>
    </row>
    <row r="34" ht="15.75" customHeight="1">
      <c r="A34" s="3" t="s">
        <v>49</v>
      </c>
      <c r="B34" s="3">
        <v>30.0</v>
      </c>
      <c r="C34" s="3" t="s">
        <v>224</v>
      </c>
      <c r="D34" s="3">
        <v>47087.0</v>
      </c>
      <c r="E34" s="3">
        <v>83561.57436800002</v>
      </c>
      <c r="F34" s="3">
        <v>0.0</v>
      </c>
      <c r="G34" s="3">
        <v>383.3549149135337</v>
      </c>
      <c r="H34" s="3">
        <v>15.92</v>
      </c>
      <c r="I34" s="3">
        <v>1520.141200000001</v>
      </c>
      <c r="J34" s="3">
        <v>1919.416114913535</v>
      </c>
      <c r="K34" s="3">
        <v>191383.2059727042</v>
      </c>
      <c r="L34" s="3">
        <v>2.290325516485177</v>
      </c>
      <c r="M34" s="3">
        <v>1269.2092203742</v>
      </c>
      <c r="N34" s="3">
        <v>650.206894539335</v>
      </c>
      <c r="O34" s="3">
        <v>142426.6446161264</v>
      </c>
      <c r="P34" s="3">
        <v>5.7</v>
      </c>
    </row>
    <row r="35" ht="15.75" customHeight="1">
      <c r="A35" s="3" t="s">
        <v>49</v>
      </c>
      <c r="B35" s="3">
        <v>31.0</v>
      </c>
      <c r="C35" s="3" t="s">
        <v>225</v>
      </c>
      <c r="D35" s="3">
        <v>47087.0</v>
      </c>
      <c r="E35" s="3">
        <v>83561.57436800002</v>
      </c>
      <c r="F35" s="3">
        <v>0.0</v>
      </c>
      <c r="G35" s="3">
        <v>382.0799075935449</v>
      </c>
      <c r="H35" s="3">
        <v>6.368</v>
      </c>
      <c r="I35" s="3">
        <v>1754.362100000001</v>
      </c>
      <c r="J35" s="3">
        <v>2142.810007593546</v>
      </c>
      <c r="K35" s="3">
        <v>193526.0159802977</v>
      </c>
      <c r="L35" s="3">
        <v>2.315969001828772</v>
      </c>
      <c r="M35" s="3">
        <v>763.7904825232999</v>
      </c>
      <c r="N35" s="3">
        <v>1379.019525070246</v>
      </c>
      <c r="O35" s="3">
        <v>143805.6641411966</v>
      </c>
      <c r="P35" s="3">
        <v>5.7</v>
      </c>
    </row>
    <row r="36" ht="15.75" customHeight="1">
      <c r="A36" s="3" t="s">
        <v>49</v>
      </c>
      <c r="B36" s="3">
        <v>32.0</v>
      </c>
      <c r="C36" s="3" t="s">
        <v>226</v>
      </c>
      <c r="D36" s="3">
        <v>47087.0</v>
      </c>
      <c r="E36" s="3">
        <v>83561.57436800002</v>
      </c>
      <c r="F36" s="3">
        <v>0.0</v>
      </c>
      <c r="G36" s="3">
        <v>296.4439813367156</v>
      </c>
      <c r="H36" s="3">
        <v>17.512</v>
      </c>
      <c r="I36" s="3">
        <v>1480.829600000001</v>
      </c>
      <c r="J36" s="3">
        <v>1794.785581336716</v>
      </c>
      <c r="K36" s="3">
        <v>195320.8015616344</v>
      </c>
      <c r="L36" s="3">
        <v>2.337447601231801</v>
      </c>
      <c r="M36" s="3">
        <v>866.7201487509001</v>
      </c>
      <c r="N36" s="3">
        <v>928.0654325858164</v>
      </c>
      <c r="O36" s="3">
        <v>144733.7295737824</v>
      </c>
      <c r="P36" s="3">
        <v>5.7</v>
      </c>
    </row>
    <row r="37" ht="15.75" customHeight="1">
      <c r="A37" s="3" t="s">
        <v>49</v>
      </c>
      <c r="B37" s="3">
        <v>33.0</v>
      </c>
      <c r="C37" s="3" t="s">
        <v>227</v>
      </c>
      <c r="D37" s="3">
        <v>47087.0</v>
      </c>
      <c r="E37" s="3">
        <v>83561.57436800002</v>
      </c>
      <c r="F37" s="3">
        <v>0.0</v>
      </c>
      <c r="G37" s="3">
        <v>265.5322938321676</v>
      </c>
      <c r="H37" s="3">
        <v>6.368</v>
      </c>
      <c r="I37" s="3">
        <v>1460.722200000001</v>
      </c>
      <c r="J37" s="3">
        <v>1732.622493832169</v>
      </c>
      <c r="K37" s="3">
        <v>197053.4240554666</v>
      </c>
      <c r="L37" s="3">
        <v>2.358182281100347</v>
      </c>
      <c r="M37" s="3">
        <v>581.0756881369</v>
      </c>
      <c r="N37" s="3">
        <v>1151.546805695269</v>
      </c>
      <c r="O37" s="3">
        <v>145885.2763794777</v>
      </c>
      <c r="P37" s="3">
        <v>5.7</v>
      </c>
    </row>
    <row r="38" ht="15.75" customHeight="1">
      <c r="A38" s="3" t="s">
        <v>49</v>
      </c>
      <c r="B38" s="3">
        <v>34.0</v>
      </c>
      <c r="C38" s="3" t="s">
        <v>228</v>
      </c>
      <c r="D38" s="3">
        <v>47087.0</v>
      </c>
      <c r="E38" s="3">
        <v>83561.57436800002</v>
      </c>
      <c r="F38" s="3">
        <v>0.0</v>
      </c>
      <c r="G38" s="3">
        <v>317.3799055501869</v>
      </c>
      <c r="H38" s="3">
        <v>14.328</v>
      </c>
      <c r="I38" s="3">
        <v>1154.0307</v>
      </c>
      <c r="J38" s="3">
        <v>1485.738605550187</v>
      </c>
      <c r="K38" s="3">
        <v>198539.1626610168</v>
      </c>
      <c r="L38" s="3">
        <v>2.375962446407036</v>
      </c>
      <c r="M38" s="3">
        <v>473.153201283</v>
      </c>
      <c r="N38" s="3">
        <v>1012.585404267187</v>
      </c>
      <c r="O38" s="3">
        <v>146897.8617837449</v>
      </c>
      <c r="P38" s="3">
        <v>5.7</v>
      </c>
    </row>
    <row r="39" ht="15.75" customHeight="1">
      <c r="A39" s="3" t="s">
        <v>49</v>
      </c>
      <c r="B39" s="3">
        <v>35.0</v>
      </c>
      <c r="C39" s="3" t="s">
        <v>229</v>
      </c>
      <c r="D39" s="3">
        <v>47087.0</v>
      </c>
      <c r="E39" s="3">
        <v>83561.57436800002</v>
      </c>
      <c r="F39" s="3">
        <v>0.0</v>
      </c>
      <c r="G39" s="3">
        <v>300.8846993425663</v>
      </c>
      <c r="H39" s="3">
        <v>1.592</v>
      </c>
      <c r="I39" s="3">
        <v>2238.923500000001</v>
      </c>
      <c r="J39" s="3">
        <v>2541.400199342567</v>
      </c>
      <c r="K39" s="3">
        <v>201080.5628603593</v>
      </c>
      <c r="L39" s="3">
        <v>2.406375949486219</v>
      </c>
      <c r="M39" s="3">
        <v>696.5327562722</v>
      </c>
      <c r="N39" s="3">
        <v>1844.867443070367</v>
      </c>
      <c r="O39" s="3">
        <v>148742.7292268153</v>
      </c>
      <c r="P39" s="3">
        <v>5.7</v>
      </c>
    </row>
    <row r="40" ht="15.75" customHeight="1">
      <c r="A40" s="3" t="s">
        <v>49</v>
      </c>
      <c r="B40" s="3">
        <v>36.0</v>
      </c>
      <c r="C40" s="3" t="s">
        <v>230</v>
      </c>
      <c r="D40" s="3">
        <v>47087.0</v>
      </c>
      <c r="E40" s="3">
        <v>83561.57436800002</v>
      </c>
      <c r="F40" s="3">
        <v>0.0</v>
      </c>
      <c r="G40" s="3">
        <v>281.1877472717645</v>
      </c>
      <c r="H40" s="3">
        <v>3.184</v>
      </c>
      <c r="I40" s="3">
        <v>965.6602</v>
      </c>
      <c r="J40" s="3">
        <v>1250.031947271764</v>
      </c>
      <c r="K40" s="3">
        <v>202330.5948076311</v>
      </c>
      <c r="L40" s="3">
        <v>2.421335360635735</v>
      </c>
      <c r="M40" s="3">
        <v>768.3200928832998</v>
      </c>
      <c r="N40" s="3">
        <v>481.7118543884646</v>
      </c>
      <c r="O40" s="3">
        <v>149224.4410812038</v>
      </c>
      <c r="P40" s="3">
        <v>5.7</v>
      </c>
    </row>
    <row r="41" ht="15.75" customHeight="1">
      <c r="A41" s="3" t="s">
        <v>49</v>
      </c>
      <c r="B41" s="3">
        <v>37.0</v>
      </c>
      <c r="C41" s="3" t="s">
        <v>231</v>
      </c>
      <c r="D41" s="3">
        <v>47087.0</v>
      </c>
      <c r="E41" s="3">
        <v>83561.57436800002</v>
      </c>
      <c r="F41" s="3">
        <v>0.0</v>
      </c>
      <c r="G41" s="3">
        <v>300.7071680416948</v>
      </c>
      <c r="H41" s="3">
        <v>4.776</v>
      </c>
      <c r="I41" s="3">
        <v>1111.174099999999</v>
      </c>
      <c r="J41" s="3">
        <v>1416.657268041695</v>
      </c>
      <c r="K41" s="3">
        <v>203747.2520756728</v>
      </c>
      <c r="L41" s="3">
        <v>2.438288814166933</v>
      </c>
      <c r="M41" s="3">
        <v>85.860706279</v>
      </c>
      <c r="N41" s="3">
        <v>1330.796561762695</v>
      </c>
      <c r="O41" s="3">
        <v>150555.2376429664</v>
      </c>
      <c r="P41" s="3">
        <v>5.7</v>
      </c>
    </row>
    <row r="42" ht="15.75" customHeight="1">
      <c r="A42" s="3" t="s">
        <v>49</v>
      </c>
      <c r="B42" s="3">
        <v>38.0</v>
      </c>
      <c r="C42" s="3" t="s">
        <v>232</v>
      </c>
      <c r="D42" s="3">
        <v>47087.0</v>
      </c>
      <c r="E42" s="3">
        <v>83561.57436800002</v>
      </c>
      <c r="F42" s="3">
        <v>0.0</v>
      </c>
      <c r="G42" s="3">
        <v>304.3286299968635</v>
      </c>
      <c r="H42" s="3">
        <v>7.960000000000001</v>
      </c>
      <c r="I42" s="3">
        <v>876.7602000000002</v>
      </c>
      <c r="J42" s="3">
        <v>1189.048829996864</v>
      </c>
      <c r="K42" s="3">
        <v>204936.3009056697</v>
      </c>
      <c r="L42" s="3">
        <v>2.452518426748913</v>
      </c>
      <c r="M42" s="3">
        <v>184.6815588055</v>
      </c>
      <c r="N42" s="3">
        <v>1004.367271191364</v>
      </c>
      <c r="O42" s="3">
        <v>151559.6049141578</v>
      </c>
      <c r="P42" s="3">
        <v>5.7</v>
      </c>
    </row>
    <row r="43" ht="15.75" customHeight="1">
      <c r="A43" s="3" t="s">
        <v>49</v>
      </c>
      <c r="B43" s="3">
        <v>39.0</v>
      </c>
      <c r="C43" s="3" t="s">
        <v>233</v>
      </c>
      <c r="D43" s="3">
        <v>47087.0</v>
      </c>
      <c r="E43" s="3">
        <v>83561.57436800002</v>
      </c>
      <c r="F43" s="3">
        <v>0.0</v>
      </c>
      <c r="G43" s="3">
        <v>331.9782012175643</v>
      </c>
      <c r="H43" s="3">
        <v>1.592</v>
      </c>
      <c r="I43" s="3">
        <v>1860.473300000001</v>
      </c>
      <c r="J43" s="3">
        <v>2194.043501217565</v>
      </c>
      <c r="K43" s="3">
        <v>207130.3444068872</v>
      </c>
      <c r="L43" s="3">
        <v>2.478775034739029</v>
      </c>
      <c r="M43" s="3">
        <v>525.1096977582</v>
      </c>
      <c r="N43" s="3">
        <v>1668.933803459365</v>
      </c>
      <c r="O43" s="3">
        <v>153228.5387176172</v>
      </c>
      <c r="P43" s="3">
        <v>5.7</v>
      </c>
    </row>
    <row r="44" ht="15.75" customHeight="1">
      <c r="A44" s="3" t="s">
        <v>49</v>
      </c>
      <c r="B44" s="3">
        <v>40.0</v>
      </c>
      <c r="C44" s="3" t="s">
        <v>234</v>
      </c>
      <c r="D44" s="3">
        <v>47087.0</v>
      </c>
      <c r="E44" s="3">
        <v>83561.57436800002</v>
      </c>
      <c r="F44" s="3">
        <v>0.0</v>
      </c>
      <c r="G44" s="3">
        <v>477.6382854618621</v>
      </c>
      <c r="H44" s="3">
        <v>7.960000000000001</v>
      </c>
      <c r="I44" s="3">
        <v>767.5863000000006</v>
      </c>
      <c r="J44" s="3">
        <v>1253.184585461863</v>
      </c>
      <c r="K44" s="3">
        <v>208383.5289923491</v>
      </c>
      <c r="L44" s="3">
        <v>2.493772174213005</v>
      </c>
      <c r="M44" s="3">
        <v>1190.5328131858</v>
      </c>
      <c r="N44" s="3">
        <v>62.65177227606273</v>
      </c>
      <c r="O44" s="3">
        <v>153291.1904898932</v>
      </c>
      <c r="P44" s="3">
        <v>5.7</v>
      </c>
    </row>
    <row r="45" ht="15.75" customHeight="1">
      <c r="A45" s="3" t="s">
        <v>49</v>
      </c>
      <c r="B45" s="3">
        <v>41.0</v>
      </c>
      <c r="C45" s="3" t="s">
        <v>235</v>
      </c>
      <c r="D45" s="3">
        <v>47087.0</v>
      </c>
      <c r="E45" s="3">
        <v>83561.57436800002</v>
      </c>
      <c r="F45" s="3">
        <v>0.0</v>
      </c>
      <c r="G45" s="3">
        <v>527.7143996136917</v>
      </c>
      <c r="H45" s="3">
        <v>7.960000000000001</v>
      </c>
      <c r="I45" s="3">
        <v>2115.9129</v>
      </c>
      <c r="J45" s="3">
        <v>2651.587299613692</v>
      </c>
      <c r="K45" s="3">
        <v>211035.1162919628</v>
      </c>
      <c r="L45" s="3">
        <v>2.525504310899854</v>
      </c>
      <c r="M45" s="3">
        <v>321.7724306056</v>
      </c>
      <c r="N45" s="3">
        <v>2329.814869008092</v>
      </c>
      <c r="O45" s="3">
        <v>155621.0053589013</v>
      </c>
      <c r="P45" s="3">
        <v>5.7</v>
      </c>
    </row>
    <row r="46" ht="15.75" customHeight="1">
      <c r="A46" s="3" t="s">
        <v>49</v>
      </c>
      <c r="B46" s="3">
        <v>42.0</v>
      </c>
      <c r="C46" s="3" t="s">
        <v>236</v>
      </c>
      <c r="D46" s="3">
        <v>47087.0</v>
      </c>
      <c r="E46" s="3">
        <v>83561.57436800002</v>
      </c>
      <c r="F46" s="3">
        <v>0.0</v>
      </c>
      <c r="G46" s="3">
        <v>417.1455733332755</v>
      </c>
      <c r="H46" s="3">
        <v>1.592</v>
      </c>
      <c r="I46" s="3">
        <v>916.2048000000012</v>
      </c>
      <c r="J46" s="3">
        <v>1334.942373333276</v>
      </c>
      <c r="K46" s="3">
        <v>212370.058665296</v>
      </c>
      <c r="L46" s="3">
        <v>2.541479864058465</v>
      </c>
      <c r="M46" s="3">
        <v>568.8419613236001</v>
      </c>
      <c r="N46" s="3">
        <v>766.1004120096763</v>
      </c>
      <c r="O46" s="3">
        <v>156387.105770911</v>
      </c>
      <c r="P46" s="3">
        <v>5.7</v>
      </c>
    </row>
    <row r="47" ht="15.75" customHeight="1">
      <c r="A47" s="3" t="s">
        <v>50</v>
      </c>
      <c r="B47" s="3">
        <v>0.0</v>
      </c>
      <c r="C47" s="3" t="s">
        <v>50</v>
      </c>
      <c r="D47" s="3">
        <v>41122.0</v>
      </c>
      <c r="E47" s="3">
        <v>77127.49000000002</v>
      </c>
      <c r="F47" s="3">
        <v>0.0</v>
      </c>
      <c r="G47" s="3">
        <v>1492.817536173559</v>
      </c>
      <c r="H47" s="3">
        <v>12.736</v>
      </c>
      <c r="I47" s="3">
        <v>2975.915500000012</v>
      </c>
      <c r="J47" s="3">
        <v>4481.469036173572</v>
      </c>
      <c r="K47" s="3">
        <v>4481.469036173572</v>
      </c>
      <c r="L47" s="3">
        <v>0.0581046918053935</v>
      </c>
      <c r="M47" s="3">
        <v>551.866378375</v>
      </c>
      <c r="N47" s="3">
        <v>3929.602657798572</v>
      </c>
      <c r="O47" s="3">
        <v>3929.602657798572</v>
      </c>
      <c r="P47" s="3">
        <v>5.7</v>
      </c>
    </row>
    <row r="48" ht="15.75" customHeight="1">
      <c r="A48" s="3" t="s">
        <v>50</v>
      </c>
      <c r="B48" s="3">
        <v>1.0</v>
      </c>
      <c r="C48" s="3" t="s">
        <v>237</v>
      </c>
      <c r="D48" s="3">
        <v>41122.0</v>
      </c>
      <c r="E48" s="3">
        <v>77127.49000000002</v>
      </c>
      <c r="F48" s="3">
        <v>0.0</v>
      </c>
      <c r="G48" s="3">
        <v>5673.797060444799</v>
      </c>
      <c r="H48" s="3">
        <v>60.49599999999997</v>
      </c>
      <c r="I48" s="3">
        <v>7660.052499999776</v>
      </c>
      <c r="J48" s="3">
        <v>13394.34556044458</v>
      </c>
      <c r="K48" s="3">
        <v>17875.81459661815</v>
      </c>
      <c r="L48" s="3">
        <v>0.2317696919297923</v>
      </c>
      <c r="M48" s="3">
        <v>351.3420202132</v>
      </c>
      <c r="N48" s="3">
        <v>13043.00354023138</v>
      </c>
      <c r="O48" s="3">
        <v>16972.60619802995</v>
      </c>
      <c r="P48" s="3">
        <v>5.7</v>
      </c>
    </row>
    <row r="49" ht="15.75" customHeight="1">
      <c r="A49" s="3" t="s">
        <v>50</v>
      </c>
      <c r="B49" s="3">
        <v>2.0</v>
      </c>
      <c r="C49" s="3" t="s">
        <v>238</v>
      </c>
      <c r="D49" s="3">
        <v>41122.0</v>
      </c>
      <c r="E49" s="3">
        <v>77127.49000000002</v>
      </c>
      <c r="F49" s="3">
        <v>0.0</v>
      </c>
      <c r="G49" s="3">
        <v>7729.043429131412</v>
      </c>
      <c r="H49" s="3">
        <v>70.04799999999997</v>
      </c>
      <c r="I49" s="3">
        <v>10763.41049999959</v>
      </c>
      <c r="J49" s="3">
        <v>18562.501929131</v>
      </c>
      <c r="K49" s="3">
        <v>36438.31652574915</v>
      </c>
      <c r="L49" s="3">
        <v>0.4724426598836438</v>
      </c>
      <c r="M49" s="3">
        <v>2004.1745625444</v>
      </c>
      <c r="N49" s="3">
        <v>16558.3273665866</v>
      </c>
      <c r="O49" s="3">
        <v>33530.93356461655</v>
      </c>
      <c r="P49" s="3">
        <v>5.7</v>
      </c>
    </row>
    <row r="50" ht="15.75" customHeight="1">
      <c r="A50" s="3" t="s">
        <v>50</v>
      </c>
      <c r="B50" s="3">
        <v>3.0</v>
      </c>
      <c r="C50" s="3" t="s">
        <v>239</v>
      </c>
      <c r="D50" s="3">
        <v>41122.0</v>
      </c>
      <c r="E50" s="3">
        <v>77127.49000000002</v>
      </c>
      <c r="F50" s="3">
        <v>0.0</v>
      </c>
      <c r="G50" s="3">
        <v>5780.156372787197</v>
      </c>
      <c r="H50" s="3">
        <v>65.27199999999998</v>
      </c>
      <c r="I50" s="3">
        <v>13920.80499999952</v>
      </c>
      <c r="J50" s="3">
        <v>19766.23337278672</v>
      </c>
      <c r="K50" s="3">
        <v>56204.54989853587</v>
      </c>
      <c r="L50" s="3">
        <v>0.7287226629381541</v>
      </c>
      <c r="M50" s="3">
        <v>3448.884249369999</v>
      </c>
      <c r="N50" s="3">
        <v>16317.34912341672</v>
      </c>
      <c r="O50" s="3">
        <v>49848.28268803327</v>
      </c>
      <c r="P50" s="3">
        <v>5.7</v>
      </c>
    </row>
    <row r="51" ht="15.75" customHeight="1">
      <c r="A51" s="3" t="s">
        <v>50</v>
      </c>
      <c r="B51" s="3">
        <v>4.0</v>
      </c>
      <c r="C51" s="3" t="s">
        <v>240</v>
      </c>
      <c r="D51" s="3">
        <v>41122.0</v>
      </c>
      <c r="E51" s="3">
        <v>77127.49000000002</v>
      </c>
      <c r="F51" s="3">
        <v>0.0</v>
      </c>
      <c r="G51" s="3">
        <v>6314.745236969786</v>
      </c>
      <c r="H51" s="3">
        <v>71.63999999999997</v>
      </c>
      <c r="I51" s="3">
        <v>10363.86799999974</v>
      </c>
      <c r="J51" s="3">
        <v>16750.25323696953</v>
      </c>
      <c r="K51" s="3">
        <v>72954.8031355054</v>
      </c>
      <c r="L51" s="3">
        <v>0.945898837567583</v>
      </c>
      <c r="M51" s="3">
        <v>2374.413108797601</v>
      </c>
      <c r="N51" s="3">
        <v>14375.84012817192</v>
      </c>
      <c r="O51" s="3">
        <v>64224.1228162052</v>
      </c>
      <c r="P51" s="3">
        <v>5.7</v>
      </c>
    </row>
    <row r="52" ht="15.75" customHeight="1">
      <c r="A52" s="3" t="s">
        <v>50</v>
      </c>
      <c r="B52" s="3">
        <v>5.0</v>
      </c>
      <c r="C52" s="3" t="s">
        <v>241</v>
      </c>
      <c r="D52" s="3">
        <v>41122.0</v>
      </c>
      <c r="E52" s="3">
        <v>77127.49000000002</v>
      </c>
      <c r="F52" s="3">
        <v>0.0</v>
      </c>
      <c r="G52" s="3">
        <v>3935.253770871606</v>
      </c>
      <c r="H52" s="3">
        <v>50.94399999999998</v>
      </c>
      <c r="I52" s="3">
        <v>10251.61149999977</v>
      </c>
      <c r="J52" s="3">
        <v>14237.80927087138</v>
      </c>
      <c r="K52" s="3">
        <v>87192.61240637678</v>
      </c>
      <c r="L52" s="3">
        <v>1.130499805016042</v>
      </c>
      <c r="M52" s="3">
        <v>3605.1455052446</v>
      </c>
      <c r="N52" s="3">
        <v>10632.66376562678</v>
      </c>
      <c r="O52" s="3">
        <v>74856.78658183198</v>
      </c>
      <c r="P52" s="3">
        <v>5.7</v>
      </c>
    </row>
    <row r="53" ht="15.75" customHeight="1">
      <c r="A53" s="3" t="s">
        <v>50</v>
      </c>
      <c r="B53" s="3">
        <v>6.0</v>
      </c>
      <c r="C53" s="3" t="s">
        <v>242</v>
      </c>
      <c r="D53" s="3">
        <v>41122.0</v>
      </c>
      <c r="E53" s="3">
        <v>77127.49000000002</v>
      </c>
      <c r="F53" s="3">
        <v>0.0</v>
      </c>
      <c r="G53" s="3">
        <v>2909.940963190022</v>
      </c>
      <c r="H53" s="3">
        <v>66.86399999999998</v>
      </c>
      <c r="I53" s="3">
        <v>5644.314499999889</v>
      </c>
      <c r="J53" s="3">
        <v>8621.119463189912</v>
      </c>
      <c r="K53" s="3">
        <v>95813.73186956668</v>
      </c>
      <c r="L53" s="3">
        <v>1.242277323812387</v>
      </c>
      <c r="M53" s="3">
        <v>5160.954776602301</v>
      </c>
      <c r="N53" s="3">
        <v>3460.164686587612</v>
      </c>
      <c r="O53" s="3">
        <v>78316.9512684196</v>
      </c>
      <c r="P53" s="3">
        <v>5.7</v>
      </c>
    </row>
    <row r="54" ht="15.75" customHeight="1">
      <c r="A54" s="3" t="s">
        <v>50</v>
      </c>
      <c r="B54" s="3">
        <v>7.0</v>
      </c>
      <c r="C54" s="3" t="s">
        <v>243</v>
      </c>
      <c r="D54" s="3">
        <v>41122.0</v>
      </c>
      <c r="E54" s="3">
        <v>77127.49000000002</v>
      </c>
      <c r="F54" s="3">
        <v>0.0</v>
      </c>
      <c r="G54" s="3">
        <v>3003.146550175375</v>
      </c>
      <c r="H54" s="3">
        <v>31.84</v>
      </c>
      <c r="I54" s="3">
        <v>4676.021499999902</v>
      </c>
      <c r="J54" s="3">
        <v>7711.008050175276</v>
      </c>
      <c r="K54" s="3">
        <v>103524.739919742</v>
      </c>
      <c r="L54" s="3">
        <v>1.34225475144779</v>
      </c>
      <c r="M54" s="3">
        <v>1814.4104346695</v>
      </c>
      <c r="N54" s="3">
        <v>5896.597615505776</v>
      </c>
      <c r="O54" s="3">
        <v>84213.54888392537</v>
      </c>
      <c r="P54" s="3">
        <v>5.7</v>
      </c>
    </row>
    <row r="55" ht="15.75" customHeight="1">
      <c r="A55" s="3" t="s">
        <v>50</v>
      </c>
      <c r="B55" s="3">
        <v>8.0</v>
      </c>
      <c r="C55" s="3" t="s">
        <v>244</v>
      </c>
      <c r="D55" s="3">
        <v>41122.0</v>
      </c>
      <c r="E55" s="3">
        <v>77127.49000000002</v>
      </c>
      <c r="F55" s="3">
        <v>0.0</v>
      </c>
      <c r="G55" s="3">
        <v>1977.894317909651</v>
      </c>
      <c r="H55" s="3">
        <v>35.02399999999999</v>
      </c>
      <c r="I55" s="3">
        <v>4581.675000000004</v>
      </c>
      <c r="J55" s="3">
        <v>6594.593317909655</v>
      </c>
      <c r="K55" s="3">
        <v>110119.3332376516</v>
      </c>
      <c r="L55" s="3">
        <v>1.427757252798602</v>
      </c>
      <c r="M55" s="3">
        <v>4992.656817050001</v>
      </c>
      <c r="N55" s="3">
        <v>1601.936500859653</v>
      </c>
      <c r="O55" s="3">
        <v>85815.48538478502</v>
      </c>
      <c r="P55" s="3">
        <v>5.7</v>
      </c>
    </row>
    <row r="56" ht="15.75" customHeight="1">
      <c r="A56" s="3" t="s">
        <v>50</v>
      </c>
      <c r="B56" s="3">
        <v>9.0</v>
      </c>
      <c r="C56" s="3" t="s">
        <v>245</v>
      </c>
      <c r="D56" s="3">
        <v>41122.0</v>
      </c>
      <c r="E56" s="3">
        <v>77127.49000000002</v>
      </c>
      <c r="F56" s="3">
        <v>0.0</v>
      </c>
      <c r="G56" s="3">
        <v>2244.1431819615</v>
      </c>
      <c r="H56" s="3">
        <v>47.75999999999998</v>
      </c>
      <c r="I56" s="3">
        <v>3756.841499999935</v>
      </c>
      <c r="J56" s="3">
        <v>6048.744681961434</v>
      </c>
      <c r="K56" s="3">
        <v>116168.0779196131</v>
      </c>
      <c r="L56" s="3">
        <v>1.506182528688708</v>
      </c>
      <c r="M56" s="3">
        <v>2923.4707041315</v>
      </c>
      <c r="N56" s="3">
        <v>3125.273977829934</v>
      </c>
      <c r="O56" s="3">
        <v>88940.75936261495</v>
      </c>
      <c r="P56" s="3">
        <v>5.7</v>
      </c>
    </row>
    <row r="57" ht="15.75" customHeight="1">
      <c r="A57" s="3" t="s">
        <v>50</v>
      </c>
      <c r="B57" s="3">
        <v>10.0</v>
      </c>
      <c r="C57" s="3" t="s">
        <v>246</v>
      </c>
      <c r="D57" s="3">
        <v>41122.0</v>
      </c>
      <c r="E57" s="3">
        <v>77127.49000000002</v>
      </c>
      <c r="F57" s="3">
        <v>0.0</v>
      </c>
      <c r="G57" s="3">
        <v>1226.114039635752</v>
      </c>
      <c r="H57" s="3">
        <v>27.064</v>
      </c>
      <c r="I57" s="3">
        <v>3333.17849999993</v>
      </c>
      <c r="J57" s="3">
        <v>4586.356539635683</v>
      </c>
      <c r="K57" s="3">
        <v>120754.4344592488</v>
      </c>
      <c r="L57" s="3">
        <v>1.565647144218601</v>
      </c>
      <c r="M57" s="3">
        <v>2797.938120987398</v>
      </c>
      <c r="N57" s="3">
        <v>1788.418418648284</v>
      </c>
      <c r="O57" s="3">
        <v>90729.17778126324</v>
      </c>
      <c r="P57" s="3">
        <v>5.7</v>
      </c>
    </row>
    <row r="58" ht="15.75" customHeight="1">
      <c r="A58" s="3" t="s">
        <v>50</v>
      </c>
      <c r="B58" s="3">
        <v>11.0</v>
      </c>
      <c r="C58" s="3" t="s">
        <v>247</v>
      </c>
      <c r="D58" s="3">
        <v>41122.0</v>
      </c>
      <c r="E58" s="3">
        <v>77127.49000000002</v>
      </c>
      <c r="F58" s="3">
        <v>0.0</v>
      </c>
      <c r="G58" s="3">
        <v>1316.574384482383</v>
      </c>
      <c r="H58" s="3">
        <v>30.248</v>
      </c>
      <c r="I58" s="3">
        <v>5085.446499999922</v>
      </c>
      <c r="J58" s="3">
        <v>6432.268884482306</v>
      </c>
      <c r="K58" s="3">
        <v>127186.7033437311</v>
      </c>
      <c r="L58" s="3">
        <v>1.649045020701841</v>
      </c>
      <c r="M58" s="3">
        <v>1751.9199236405</v>
      </c>
      <c r="N58" s="3">
        <v>4680.348960841806</v>
      </c>
      <c r="O58" s="3">
        <v>95409.52674210504</v>
      </c>
      <c r="P58" s="3">
        <v>5.7</v>
      </c>
    </row>
    <row r="59" ht="15.75" customHeight="1">
      <c r="A59" s="3" t="s">
        <v>50</v>
      </c>
      <c r="B59" s="3">
        <v>12.0</v>
      </c>
      <c r="C59" s="3" t="s">
        <v>248</v>
      </c>
      <c r="D59" s="3">
        <v>41122.0</v>
      </c>
      <c r="E59" s="3">
        <v>77127.49000000002</v>
      </c>
      <c r="F59" s="3">
        <v>0.0</v>
      </c>
      <c r="G59" s="3">
        <v>1438.213191207128</v>
      </c>
      <c r="H59" s="3">
        <v>17.512</v>
      </c>
      <c r="I59" s="3">
        <v>3185.118000000006</v>
      </c>
      <c r="J59" s="3">
        <v>4640.843191207135</v>
      </c>
      <c r="K59" s="3">
        <v>131827.5465349382</v>
      </c>
      <c r="L59" s="3">
        <v>1.709216085405322</v>
      </c>
      <c r="M59" s="3">
        <v>4224.193633729</v>
      </c>
      <c r="N59" s="3">
        <v>416.6495574781347</v>
      </c>
      <c r="O59" s="3">
        <v>95826.17629958317</v>
      </c>
      <c r="P59" s="3">
        <v>5.7</v>
      </c>
    </row>
    <row r="60" ht="15.75" customHeight="1">
      <c r="A60" s="3" t="s">
        <v>50</v>
      </c>
      <c r="B60" s="3">
        <v>13.0</v>
      </c>
      <c r="C60" s="3" t="s">
        <v>249</v>
      </c>
      <c r="D60" s="3">
        <v>41122.0</v>
      </c>
      <c r="E60" s="3">
        <v>77127.49000000002</v>
      </c>
      <c r="F60" s="3">
        <v>0.0</v>
      </c>
      <c r="G60" s="3">
        <v>1027.368012936748</v>
      </c>
      <c r="H60" s="3">
        <v>20.696</v>
      </c>
      <c r="I60" s="3">
        <v>4335.353999999943</v>
      </c>
      <c r="J60" s="3">
        <v>5383.418012936691</v>
      </c>
      <c r="K60" s="3">
        <v>137210.9645478749</v>
      </c>
      <c r="L60" s="3">
        <v>1.779015037931026</v>
      </c>
      <c r="M60" s="3">
        <v>4210.839071337</v>
      </c>
      <c r="N60" s="3">
        <v>1172.578941599692</v>
      </c>
      <c r="O60" s="3">
        <v>96998.75524118288</v>
      </c>
      <c r="P60" s="3">
        <v>5.7</v>
      </c>
    </row>
    <row r="61" ht="15.75" customHeight="1">
      <c r="A61" s="3" t="s">
        <v>50</v>
      </c>
      <c r="B61" s="3">
        <v>14.0</v>
      </c>
      <c r="C61" s="3" t="s">
        <v>250</v>
      </c>
      <c r="D61" s="3">
        <v>41122.0</v>
      </c>
      <c r="E61" s="3">
        <v>77127.49000000002</v>
      </c>
      <c r="F61" s="3">
        <v>0.0</v>
      </c>
      <c r="G61" s="3">
        <v>879.075399196651</v>
      </c>
      <c r="H61" s="3">
        <v>25.472</v>
      </c>
      <c r="I61" s="3">
        <v>2925.139999999979</v>
      </c>
      <c r="J61" s="3">
        <v>3829.68739919663</v>
      </c>
      <c r="K61" s="3">
        <v>141040.6519470715</v>
      </c>
      <c r="L61" s="3">
        <v>1.828669025104687</v>
      </c>
      <c r="M61" s="3">
        <v>1070.8932526859</v>
      </c>
      <c r="N61" s="3">
        <v>2758.794146510731</v>
      </c>
      <c r="O61" s="3">
        <v>99757.5493876936</v>
      </c>
      <c r="P61" s="3">
        <v>5.7</v>
      </c>
    </row>
    <row r="62" ht="15.75" customHeight="1">
      <c r="A62" s="3" t="s">
        <v>50</v>
      </c>
      <c r="B62" s="3">
        <v>15.0</v>
      </c>
      <c r="C62" s="3" t="s">
        <v>251</v>
      </c>
      <c r="D62" s="3">
        <v>41122.0</v>
      </c>
      <c r="E62" s="3">
        <v>77127.49000000002</v>
      </c>
      <c r="F62" s="3">
        <v>0.0</v>
      </c>
      <c r="G62" s="3">
        <v>1288.511514654827</v>
      </c>
      <c r="H62" s="3">
        <v>35.02399999999999</v>
      </c>
      <c r="I62" s="3">
        <v>4075.073499999949</v>
      </c>
      <c r="J62" s="3">
        <v>5398.609014654777</v>
      </c>
      <c r="K62" s="3">
        <v>146439.2609617263</v>
      </c>
      <c r="L62" s="3">
        <v>1.89866493725812</v>
      </c>
      <c r="M62" s="3">
        <v>2404.6696476998</v>
      </c>
      <c r="N62" s="3">
        <v>2993.939366954977</v>
      </c>
      <c r="O62" s="3">
        <v>102751.4887546486</v>
      </c>
      <c r="P62" s="3">
        <v>5.7</v>
      </c>
    </row>
    <row r="63" ht="15.75" customHeight="1">
      <c r="A63" s="3" t="s">
        <v>50</v>
      </c>
      <c r="B63" s="3">
        <v>16.0</v>
      </c>
      <c r="C63" s="3" t="s">
        <v>252</v>
      </c>
      <c r="D63" s="3">
        <v>41122.0</v>
      </c>
      <c r="E63" s="3">
        <v>77127.49000000002</v>
      </c>
      <c r="F63" s="3">
        <v>0.0</v>
      </c>
      <c r="G63" s="3">
        <v>698.6857166683595</v>
      </c>
      <c r="H63" s="3">
        <v>23.88</v>
      </c>
      <c r="I63" s="3">
        <v>3397.138099999964</v>
      </c>
      <c r="J63" s="3">
        <v>4119.703816668323</v>
      </c>
      <c r="K63" s="3">
        <v>150558.9647783946</v>
      </c>
      <c r="L63" s="3">
        <v>1.952079145560092</v>
      </c>
      <c r="M63" s="3">
        <v>1462.0268857017</v>
      </c>
      <c r="N63" s="3">
        <v>2657.676930966624</v>
      </c>
      <c r="O63" s="3">
        <v>105409.1656856152</v>
      </c>
      <c r="P63" s="3">
        <v>5.7</v>
      </c>
    </row>
    <row r="64" ht="15.75" customHeight="1">
      <c r="A64" s="3" t="s">
        <v>50</v>
      </c>
      <c r="B64" s="3">
        <v>17.0</v>
      </c>
      <c r="C64" s="3" t="s">
        <v>253</v>
      </c>
      <c r="D64" s="3">
        <v>41122.0</v>
      </c>
      <c r="E64" s="3">
        <v>77127.49000000002</v>
      </c>
      <c r="F64" s="3">
        <v>0.0</v>
      </c>
      <c r="G64" s="3">
        <v>924.0623041569924</v>
      </c>
      <c r="H64" s="3">
        <v>15.92</v>
      </c>
      <c r="I64" s="3">
        <v>3394.09419999998</v>
      </c>
      <c r="J64" s="3">
        <v>4334.076504156973</v>
      </c>
      <c r="K64" s="3">
        <v>154893.0412825516</v>
      </c>
      <c r="L64" s="3">
        <v>2.008272812748756</v>
      </c>
      <c r="M64" s="3">
        <v>3726.9876088557</v>
      </c>
      <c r="N64" s="3">
        <v>607.0888953012732</v>
      </c>
      <c r="O64" s="3">
        <v>106016.2545809165</v>
      </c>
      <c r="P64" s="3">
        <v>5.7</v>
      </c>
    </row>
    <row r="65" ht="15.75" customHeight="1">
      <c r="A65" s="3" t="s">
        <v>50</v>
      </c>
      <c r="B65" s="3">
        <v>18.0</v>
      </c>
      <c r="C65" s="3" t="s">
        <v>254</v>
      </c>
      <c r="D65" s="3">
        <v>41122.0</v>
      </c>
      <c r="E65" s="3">
        <v>77127.49000000002</v>
      </c>
      <c r="F65" s="3">
        <v>0.0</v>
      </c>
      <c r="G65" s="3">
        <v>329.9562672518687</v>
      </c>
      <c r="H65" s="3">
        <v>15.92</v>
      </c>
      <c r="I65" s="3">
        <v>1990.854400000003</v>
      </c>
      <c r="J65" s="3">
        <v>2336.730667251872</v>
      </c>
      <c r="K65" s="3">
        <v>157229.7719498035</v>
      </c>
      <c r="L65" s="3">
        <v>2.038569801115055</v>
      </c>
      <c r="M65" s="3">
        <v>2516.7734685541</v>
      </c>
      <c r="N65" s="3">
        <v>-180.0428013022283</v>
      </c>
      <c r="O65" s="3">
        <v>105836.2117796142</v>
      </c>
      <c r="P65" s="3">
        <v>5.7</v>
      </c>
    </row>
    <row r="66" ht="15.75" customHeight="1">
      <c r="A66" s="3" t="s">
        <v>50</v>
      </c>
      <c r="B66" s="3">
        <v>19.0</v>
      </c>
      <c r="C66" s="3" t="s">
        <v>255</v>
      </c>
      <c r="D66" s="3">
        <v>41122.0</v>
      </c>
      <c r="E66" s="3">
        <v>77127.49000000002</v>
      </c>
      <c r="F66" s="3">
        <v>0.0</v>
      </c>
      <c r="G66" s="3">
        <v>477.4229008225926</v>
      </c>
      <c r="H66" s="3">
        <v>17.512</v>
      </c>
      <c r="I66" s="3">
        <v>1304.959900000002</v>
      </c>
      <c r="J66" s="3">
        <v>1799.894800822594</v>
      </c>
      <c r="K66" s="3">
        <v>159029.6667506261</v>
      </c>
      <c r="L66" s="3">
        <v>2.061906419496162</v>
      </c>
      <c r="M66" s="3">
        <v>2405.8214927648</v>
      </c>
      <c r="N66" s="3">
        <v>-605.9266919422057</v>
      </c>
      <c r="O66" s="3">
        <v>105230.285087672</v>
      </c>
      <c r="P66" s="3">
        <v>5.7</v>
      </c>
    </row>
    <row r="67" ht="15.75" customHeight="1">
      <c r="A67" s="3" t="s">
        <v>50</v>
      </c>
      <c r="B67" s="3">
        <v>20.0</v>
      </c>
      <c r="C67" s="3" t="s">
        <v>256</v>
      </c>
      <c r="D67" s="3">
        <v>41122.0</v>
      </c>
      <c r="E67" s="3">
        <v>77127.49000000002</v>
      </c>
      <c r="F67" s="3">
        <v>0.0</v>
      </c>
      <c r="G67" s="3">
        <v>354.2485406511165</v>
      </c>
      <c r="H67" s="3">
        <v>22.288</v>
      </c>
      <c r="I67" s="3">
        <v>2087.925400000002</v>
      </c>
      <c r="J67" s="3">
        <v>2464.461940651118</v>
      </c>
      <c r="K67" s="3">
        <v>161494.1286912772</v>
      </c>
      <c r="L67" s="3">
        <v>2.09385951353113</v>
      </c>
      <c r="M67" s="3">
        <v>1005.1575405093</v>
      </c>
      <c r="N67" s="3">
        <v>1459.304400141818</v>
      </c>
      <c r="O67" s="3">
        <v>106689.5894878138</v>
      </c>
      <c r="P67" s="3">
        <v>5.7</v>
      </c>
    </row>
    <row r="68" ht="15.75" customHeight="1">
      <c r="A68" s="3" t="s">
        <v>50</v>
      </c>
      <c r="B68" s="3">
        <v>21.0</v>
      </c>
      <c r="C68" s="3" t="s">
        <v>257</v>
      </c>
      <c r="D68" s="3">
        <v>41122.0</v>
      </c>
      <c r="E68" s="3">
        <v>77127.49000000002</v>
      </c>
      <c r="F68" s="3">
        <v>0.0</v>
      </c>
      <c r="G68" s="3">
        <v>264.1940165288138</v>
      </c>
      <c r="H68" s="3">
        <v>19.104</v>
      </c>
      <c r="I68" s="3">
        <v>3202.9883</v>
      </c>
      <c r="J68" s="3">
        <v>3486.286316528814</v>
      </c>
      <c r="K68" s="3">
        <v>164980.415007806</v>
      </c>
      <c r="L68" s="3">
        <v>2.139061118257653</v>
      </c>
      <c r="M68" s="3">
        <v>615.9471742274</v>
      </c>
      <c r="N68" s="3">
        <v>2870.339142301415</v>
      </c>
      <c r="O68" s="3">
        <v>109559.9286301153</v>
      </c>
      <c r="P68" s="3">
        <v>5.7</v>
      </c>
    </row>
    <row r="69" ht="15.75" customHeight="1">
      <c r="A69" s="3" t="s">
        <v>50</v>
      </c>
      <c r="B69" s="3">
        <v>22.0</v>
      </c>
      <c r="C69" s="3" t="s">
        <v>258</v>
      </c>
      <c r="D69" s="3">
        <v>41122.0</v>
      </c>
      <c r="E69" s="3">
        <v>77127.49000000002</v>
      </c>
      <c r="F69" s="3">
        <v>0.0</v>
      </c>
      <c r="G69" s="3">
        <v>450.193917324928</v>
      </c>
      <c r="H69" s="3">
        <v>14.328</v>
      </c>
      <c r="I69" s="3">
        <v>1451.5643</v>
      </c>
      <c r="J69" s="3">
        <v>1916.086217324928</v>
      </c>
      <c r="K69" s="3">
        <v>166896.5012251309</v>
      </c>
      <c r="L69" s="3">
        <v>2.16390422176491</v>
      </c>
      <c r="M69" s="3">
        <v>1274.860023023</v>
      </c>
      <c r="N69" s="3">
        <v>641.2261943019278</v>
      </c>
      <c r="O69" s="3">
        <v>110201.1548244172</v>
      </c>
      <c r="P69" s="3">
        <v>5.7</v>
      </c>
    </row>
    <row r="70" ht="15.75" customHeight="1">
      <c r="A70" s="3" t="s">
        <v>50</v>
      </c>
      <c r="B70" s="3">
        <v>23.0</v>
      </c>
      <c r="C70" s="3" t="s">
        <v>259</v>
      </c>
      <c r="D70" s="3">
        <v>41122.0</v>
      </c>
      <c r="E70" s="3">
        <v>77127.49000000002</v>
      </c>
      <c r="F70" s="3">
        <v>0.0</v>
      </c>
      <c r="G70" s="3">
        <v>361.7149630024556</v>
      </c>
      <c r="H70" s="3">
        <v>11.144</v>
      </c>
      <c r="I70" s="3">
        <v>1900.0374</v>
      </c>
      <c r="J70" s="3">
        <v>2272.896363002456</v>
      </c>
      <c r="K70" s="3">
        <v>169169.3975881333</v>
      </c>
      <c r="L70" s="3">
        <v>2.193373563539191</v>
      </c>
      <c r="M70" s="3">
        <v>671.3513524477999</v>
      </c>
      <c r="N70" s="3">
        <v>1601.545010554656</v>
      </c>
      <c r="O70" s="3">
        <v>111802.6998349718</v>
      </c>
      <c r="P70" s="3">
        <v>5.7</v>
      </c>
    </row>
    <row r="71" ht="15.75" customHeight="1">
      <c r="A71" s="3" t="s">
        <v>50</v>
      </c>
      <c r="B71" s="3">
        <v>24.0</v>
      </c>
      <c r="C71" s="3" t="s">
        <v>260</v>
      </c>
      <c r="D71" s="3">
        <v>41122.0</v>
      </c>
      <c r="E71" s="3">
        <v>77127.49000000002</v>
      </c>
      <c r="F71" s="3">
        <v>0.0</v>
      </c>
      <c r="G71" s="3">
        <v>492.9245129836407</v>
      </c>
      <c r="H71" s="3">
        <v>20.696</v>
      </c>
      <c r="I71" s="3">
        <v>1196.582600000002</v>
      </c>
      <c r="J71" s="3">
        <v>1710.203112983642</v>
      </c>
      <c r="K71" s="3">
        <v>170879.600701117</v>
      </c>
      <c r="L71" s="3">
        <v>2.215547280238433</v>
      </c>
      <c r="M71" s="3">
        <v>279.532067814</v>
      </c>
      <c r="N71" s="3">
        <v>1430.671045169642</v>
      </c>
      <c r="O71" s="3">
        <v>113233.3708801415</v>
      </c>
      <c r="P71" s="3">
        <v>5.7</v>
      </c>
    </row>
    <row r="72" ht="15.75" customHeight="1">
      <c r="A72" s="3" t="s">
        <v>50</v>
      </c>
      <c r="B72" s="3">
        <v>25.0</v>
      </c>
      <c r="C72" s="3" t="s">
        <v>261</v>
      </c>
      <c r="D72" s="3">
        <v>41122.0</v>
      </c>
      <c r="E72" s="3">
        <v>77127.49000000002</v>
      </c>
      <c r="F72" s="3">
        <v>0.0</v>
      </c>
      <c r="G72" s="3">
        <v>409.2173172270819</v>
      </c>
      <c r="H72" s="3">
        <v>15.92</v>
      </c>
      <c r="I72" s="3">
        <v>1507.7707</v>
      </c>
      <c r="J72" s="3">
        <v>1932.908017227082</v>
      </c>
      <c r="K72" s="3">
        <v>172812.5087183441</v>
      </c>
      <c r="L72" s="3">
        <v>2.24060848756188</v>
      </c>
      <c r="M72" s="3">
        <v>751.9414774917</v>
      </c>
      <c r="N72" s="3">
        <v>1180.966539735382</v>
      </c>
      <c r="O72" s="3">
        <v>114414.3374198769</v>
      </c>
      <c r="P72" s="3">
        <v>5.7</v>
      </c>
    </row>
    <row r="73" ht="15.75" customHeight="1">
      <c r="A73" s="3" t="s">
        <v>50</v>
      </c>
      <c r="B73" s="3">
        <v>26.0</v>
      </c>
      <c r="C73" s="3" t="s">
        <v>262</v>
      </c>
      <c r="D73" s="3">
        <v>41122.0</v>
      </c>
      <c r="E73" s="3">
        <v>77127.49000000002</v>
      </c>
      <c r="F73" s="3">
        <v>0.0</v>
      </c>
      <c r="G73" s="3">
        <v>457.6149605694727</v>
      </c>
      <c r="H73" s="3">
        <v>12.736</v>
      </c>
      <c r="I73" s="3">
        <v>1406.132200000001</v>
      </c>
      <c r="J73" s="3">
        <v>1876.483160569474</v>
      </c>
      <c r="K73" s="3">
        <v>174688.9918789135</v>
      </c>
      <c r="L73" s="3">
        <v>2.264938115825025</v>
      </c>
      <c r="M73" s="3">
        <v>546.9929095169</v>
      </c>
      <c r="N73" s="3">
        <v>1329.490251052574</v>
      </c>
      <c r="O73" s="3">
        <v>115743.8276709294</v>
      </c>
      <c r="P73" s="3">
        <v>5.7</v>
      </c>
    </row>
    <row r="74" ht="15.75" customHeight="1">
      <c r="A74" s="3" t="s">
        <v>50</v>
      </c>
      <c r="B74" s="3">
        <v>27.0</v>
      </c>
      <c r="C74" s="3" t="s">
        <v>263</v>
      </c>
      <c r="D74" s="3">
        <v>41122.0</v>
      </c>
      <c r="E74" s="3">
        <v>77127.49000000002</v>
      </c>
      <c r="F74" s="3">
        <v>0.0</v>
      </c>
      <c r="G74" s="3">
        <v>446.545115571909</v>
      </c>
      <c r="H74" s="3">
        <v>7.960000000000001</v>
      </c>
      <c r="I74" s="3">
        <v>1304.1043</v>
      </c>
      <c r="J74" s="3">
        <v>1758.609415571909</v>
      </c>
      <c r="K74" s="3">
        <v>176447.6012944854</v>
      </c>
      <c r="L74" s="3">
        <v>2.287739446654953</v>
      </c>
      <c r="M74" s="3">
        <v>661.7787588766</v>
      </c>
      <c r="N74" s="3">
        <v>1096.83065669531</v>
      </c>
      <c r="O74" s="3">
        <v>116840.6583276248</v>
      </c>
      <c r="P74" s="3">
        <v>5.7</v>
      </c>
    </row>
    <row r="75" ht="15.75" customHeight="1">
      <c r="A75" s="3" t="s">
        <v>50</v>
      </c>
      <c r="B75" s="3">
        <v>28.0</v>
      </c>
      <c r="C75" s="3" t="s">
        <v>264</v>
      </c>
      <c r="D75" s="3">
        <v>41122.0</v>
      </c>
      <c r="E75" s="3">
        <v>77127.49000000002</v>
      </c>
      <c r="F75" s="3">
        <v>0.0</v>
      </c>
      <c r="G75" s="3">
        <v>186.0195124509887</v>
      </c>
      <c r="H75" s="3">
        <v>6.368</v>
      </c>
      <c r="I75" s="3">
        <v>2776.319500000001</v>
      </c>
      <c r="J75" s="3">
        <v>2968.707012450989</v>
      </c>
      <c r="K75" s="3">
        <v>179416.3083069364</v>
      </c>
      <c r="L75" s="3">
        <v>2.326230353236393</v>
      </c>
      <c r="M75" s="3">
        <v>1982.9431755458</v>
      </c>
      <c r="N75" s="3">
        <v>985.7638369051892</v>
      </c>
      <c r="O75" s="3">
        <v>117826.4221645299</v>
      </c>
      <c r="P75" s="3">
        <v>5.7</v>
      </c>
    </row>
    <row r="76" ht="15.75" customHeight="1">
      <c r="A76" s="3" t="s">
        <v>50</v>
      </c>
      <c r="B76" s="3">
        <v>29.0</v>
      </c>
      <c r="C76" s="3" t="s">
        <v>265</v>
      </c>
      <c r="D76" s="3">
        <v>41122.0</v>
      </c>
      <c r="E76" s="3">
        <v>77127.49000000002</v>
      </c>
      <c r="F76" s="3">
        <v>0.0</v>
      </c>
      <c r="G76" s="3">
        <v>294.8553664144029</v>
      </c>
      <c r="H76" s="3">
        <v>14.328</v>
      </c>
      <c r="I76" s="3">
        <v>2325.567900000001</v>
      </c>
      <c r="J76" s="3">
        <v>2634.751266414404</v>
      </c>
      <c r="K76" s="3">
        <v>182051.0595733509</v>
      </c>
      <c r="L76" s="3">
        <v>2.36039134131489</v>
      </c>
      <c r="M76" s="3">
        <v>557.6811253047</v>
      </c>
      <c r="N76" s="3">
        <v>2077.070141109704</v>
      </c>
      <c r="O76" s="3">
        <v>119903.4923056396</v>
      </c>
      <c r="P76" s="3">
        <v>5.7</v>
      </c>
    </row>
    <row r="77" ht="15.75" customHeight="1">
      <c r="A77" s="3" t="s">
        <v>50</v>
      </c>
      <c r="B77" s="3">
        <v>30.0</v>
      </c>
      <c r="C77" s="3" t="s">
        <v>266</v>
      </c>
      <c r="D77" s="3">
        <v>41122.0</v>
      </c>
      <c r="E77" s="3">
        <v>77127.49000000002</v>
      </c>
      <c r="F77" s="3">
        <v>0.0</v>
      </c>
      <c r="G77" s="3">
        <v>183.7538269367386</v>
      </c>
      <c r="H77" s="3">
        <v>15.92</v>
      </c>
      <c r="I77" s="3">
        <v>5732.46919999999</v>
      </c>
      <c r="J77" s="3">
        <v>5932.143026936729</v>
      </c>
      <c r="K77" s="3">
        <v>187983.2026002876</v>
      </c>
      <c r="L77" s="3">
        <v>2.437304813112517</v>
      </c>
      <c r="M77" s="3">
        <v>1707.718720697</v>
      </c>
      <c r="N77" s="3">
        <v>4224.424306239729</v>
      </c>
      <c r="O77" s="3">
        <v>124127.9166118794</v>
      </c>
      <c r="P77" s="3">
        <v>5.7</v>
      </c>
    </row>
    <row r="78" ht="15.75" customHeight="1">
      <c r="A78" s="3" t="s">
        <v>50</v>
      </c>
      <c r="B78" s="3">
        <v>31.0</v>
      </c>
      <c r="C78" s="3" t="s">
        <v>267</v>
      </c>
      <c r="D78" s="3">
        <v>41122.0</v>
      </c>
      <c r="E78" s="3">
        <v>77127.49000000002</v>
      </c>
      <c r="F78" s="3">
        <v>0.0</v>
      </c>
      <c r="G78" s="3">
        <v>181.1995807582068</v>
      </c>
      <c r="H78" s="3">
        <v>9.552</v>
      </c>
      <c r="I78" s="3">
        <v>1939.8498</v>
      </c>
      <c r="J78" s="3">
        <v>2130.601380758207</v>
      </c>
      <c r="K78" s="3">
        <v>190113.8039810458</v>
      </c>
      <c r="L78" s="3">
        <v>2.464929222784843</v>
      </c>
      <c r="M78" s="3">
        <v>662.818265957</v>
      </c>
      <c r="N78" s="3">
        <v>1467.783114801207</v>
      </c>
      <c r="O78" s="3">
        <v>125595.6997266806</v>
      </c>
      <c r="P78" s="3">
        <v>5.7</v>
      </c>
    </row>
    <row r="79" ht="15.75" customHeight="1">
      <c r="A79" s="3" t="s">
        <v>50</v>
      </c>
      <c r="B79" s="3">
        <v>32.0</v>
      </c>
      <c r="C79" s="3" t="s">
        <v>268</v>
      </c>
      <c r="D79" s="3">
        <v>41122.0</v>
      </c>
      <c r="E79" s="3">
        <v>77127.49000000002</v>
      </c>
      <c r="F79" s="3">
        <v>0.0</v>
      </c>
      <c r="G79" s="3">
        <v>425.2469877726247</v>
      </c>
      <c r="H79" s="3">
        <v>3.184</v>
      </c>
      <c r="I79" s="3">
        <v>3823.506399999989</v>
      </c>
      <c r="J79" s="3">
        <v>4251.937387772614</v>
      </c>
      <c r="K79" s="3">
        <v>194365.7413688184</v>
      </c>
      <c r="L79" s="3">
        <v>2.52005791150235</v>
      </c>
      <c r="M79" s="3">
        <v>4891.078241359701</v>
      </c>
      <c r="N79" s="3">
        <v>-639.1408535870869</v>
      </c>
      <c r="O79" s="3">
        <v>124956.5588730935</v>
      </c>
      <c r="P79" s="3">
        <v>5.7</v>
      </c>
    </row>
    <row r="80" ht="15.75" customHeight="1">
      <c r="A80" s="3" t="s">
        <v>50</v>
      </c>
      <c r="B80" s="3">
        <v>33.0</v>
      </c>
      <c r="C80" s="3" t="s">
        <v>269</v>
      </c>
      <c r="D80" s="3">
        <v>41122.0</v>
      </c>
      <c r="E80" s="3">
        <v>77127.49000000002</v>
      </c>
      <c r="F80" s="3">
        <v>0.0</v>
      </c>
      <c r="G80" s="3">
        <v>259.6982347180797</v>
      </c>
      <c r="H80" s="3">
        <v>14.328</v>
      </c>
      <c r="I80" s="3">
        <v>10685.16379999999</v>
      </c>
      <c r="J80" s="3">
        <v>10959.19003471807</v>
      </c>
      <c r="K80" s="3">
        <v>205324.9314035365</v>
      </c>
      <c r="L80" s="3">
        <v>2.662149791255186</v>
      </c>
      <c r="M80" s="3">
        <v>9493.5510234029</v>
      </c>
      <c r="N80" s="3">
        <v>1465.639011315172</v>
      </c>
      <c r="O80" s="3">
        <v>126422.1978844087</v>
      </c>
      <c r="P80" s="3">
        <v>5.7</v>
      </c>
    </row>
    <row r="81" ht="15.75" customHeight="1">
      <c r="A81" s="3" t="s">
        <v>50</v>
      </c>
      <c r="B81" s="3">
        <v>34.0</v>
      </c>
      <c r="C81" s="3" t="s">
        <v>270</v>
      </c>
      <c r="D81" s="3">
        <v>41122.0</v>
      </c>
      <c r="E81" s="3">
        <v>77127.49000000002</v>
      </c>
      <c r="F81" s="3">
        <v>0.0</v>
      </c>
      <c r="G81" s="3">
        <v>329.467094640474</v>
      </c>
      <c r="H81" s="3">
        <v>6.368</v>
      </c>
      <c r="I81" s="3">
        <v>6506.151899999989</v>
      </c>
      <c r="J81" s="3">
        <v>6841.986994640463</v>
      </c>
      <c r="K81" s="3">
        <v>212166.918398177</v>
      </c>
      <c r="L81" s="3">
        <v>2.750859886639341</v>
      </c>
      <c r="M81" s="3">
        <v>649.0210608097</v>
      </c>
      <c r="N81" s="3">
        <v>6192.965933830763</v>
      </c>
      <c r="O81" s="3">
        <v>132615.1638182394</v>
      </c>
      <c r="P81" s="3">
        <v>5.7</v>
      </c>
    </row>
    <row r="82" ht="15.75" customHeight="1">
      <c r="A82" s="3" t="s">
        <v>50</v>
      </c>
      <c r="B82" s="3">
        <v>35.0</v>
      </c>
      <c r="C82" s="3" t="s">
        <v>58</v>
      </c>
      <c r="D82" s="3">
        <v>41122.0</v>
      </c>
      <c r="E82" s="3">
        <v>77127.49000000002</v>
      </c>
      <c r="F82" s="3">
        <v>0.0</v>
      </c>
      <c r="G82" s="3">
        <v>384.9317387695954</v>
      </c>
      <c r="H82" s="3">
        <v>4.776</v>
      </c>
      <c r="I82" s="3">
        <v>10404.5404</v>
      </c>
      <c r="J82" s="3">
        <v>10794.24813876959</v>
      </c>
      <c r="K82" s="3">
        <v>222961.1665369465</v>
      </c>
      <c r="L82" s="3">
        <v>2.890813204694545</v>
      </c>
      <c r="M82" s="3">
        <v>3450.5895824745</v>
      </c>
      <c r="N82" s="3">
        <v>7343.658556295091</v>
      </c>
      <c r="O82" s="3">
        <v>139958.8223745345</v>
      </c>
      <c r="P82" s="3">
        <v>5.7</v>
      </c>
    </row>
    <row r="83" ht="15.75" customHeight="1">
      <c r="A83" s="3" t="s">
        <v>50</v>
      </c>
      <c r="B83" s="3">
        <v>36.0</v>
      </c>
      <c r="C83" s="3" t="s">
        <v>271</v>
      </c>
      <c r="D83" s="3">
        <v>41122.0</v>
      </c>
      <c r="E83" s="3">
        <v>77127.49000000002</v>
      </c>
      <c r="F83" s="3">
        <v>0.0</v>
      </c>
      <c r="G83" s="3">
        <v>454.7590058066251</v>
      </c>
      <c r="H83" s="3">
        <v>11.144</v>
      </c>
      <c r="I83" s="3">
        <v>3882.0773</v>
      </c>
      <c r="J83" s="3">
        <v>4347.980305806625</v>
      </c>
      <c r="K83" s="3">
        <v>227309.1468427532</v>
      </c>
      <c r="L83" s="3">
        <v>2.947187142259564</v>
      </c>
      <c r="M83" s="3">
        <v>9181.6152427951</v>
      </c>
      <c r="N83" s="3">
        <v>-4833.634936988475</v>
      </c>
      <c r="O83" s="3">
        <v>135125.1874375461</v>
      </c>
      <c r="P83" s="3">
        <v>5.7</v>
      </c>
    </row>
    <row r="84" ht="15.75" customHeight="1">
      <c r="A84" s="3" t="s">
        <v>50</v>
      </c>
      <c r="B84" s="3">
        <v>37.0</v>
      </c>
      <c r="C84" s="3" t="s">
        <v>272</v>
      </c>
      <c r="D84" s="3">
        <v>41122.0</v>
      </c>
      <c r="E84" s="3">
        <v>77127.49000000002</v>
      </c>
      <c r="F84" s="3">
        <v>0.0</v>
      </c>
      <c r="G84" s="3">
        <v>556.436058596431</v>
      </c>
      <c r="H84" s="3">
        <v>12.736</v>
      </c>
      <c r="I84" s="3">
        <v>12378.2693</v>
      </c>
      <c r="J84" s="3">
        <v>12947.44135859643</v>
      </c>
      <c r="K84" s="3">
        <v>240256.5882013496</v>
      </c>
      <c r="L84" s="3">
        <v>3.115057785510063</v>
      </c>
      <c r="M84" s="3">
        <v>106.6957385314</v>
      </c>
      <c r="N84" s="3">
        <v>12840.74562006503</v>
      </c>
      <c r="O84" s="3">
        <v>147965.9330576111</v>
      </c>
      <c r="P84" s="3">
        <v>5.7</v>
      </c>
    </row>
    <row r="85" ht="15.75" customHeight="1">
      <c r="A85" s="3" t="s">
        <v>50</v>
      </c>
      <c r="B85" s="3">
        <v>38.0</v>
      </c>
      <c r="C85" s="3" t="s">
        <v>273</v>
      </c>
      <c r="D85" s="3">
        <v>41122.0</v>
      </c>
      <c r="E85" s="3">
        <v>77127.49000000002</v>
      </c>
      <c r="F85" s="3">
        <v>0.0</v>
      </c>
      <c r="G85" s="3">
        <v>307.0000804209023</v>
      </c>
      <c r="H85" s="3">
        <v>4.776</v>
      </c>
      <c r="I85" s="3">
        <v>2334.484300000001</v>
      </c>
      <c r="J85" s="3">
        <v>2646.260380420903</v>
      </c>
      <c r="K85" s="3">
        <v>242902.8485817705</v>
      </c>
      <c r="L85" s="3">
        <v>3.149367995532727</v>
      </c>
      <c r="M85" s="3">
        <v>767.0170434209999</v>
      </c>
      <c r="N85" s="3">
        <v>1879.243336999903</v>
      </c>
      <c r="O85" s="3">
        <v>149845.176394611</v>
      </c>
      <c r="P85" s="3">
        <v>5.7</v>
      </c>
    </row>
    <row r="86" ht="15.75" customHeight="1">
      <c r="A86" s="3" t="s">
        <v>51</v>
      </c>
      <c r="B86" s="3">
        <v>0.0</v>
      </c>
      <c r="C86" s="3" t="s">
        <v>51</v>
      </c>
      <c r="D86" s="3">
        <v>27893.0</v>
      </c>
      <c r="E86" s="3">
        <v>75728.60713400003</v>
      </c>
      <c r="F86" s="3">
        <v>0.0</v>
      </c>
      <c r="G86" s="3">
        <v>1923.449311680223</v>
      </c>
      <c r="H86" s="3">
        <v>28.656</v>
      </c>
      <c r="I86" s="3">
        <v>7361.173999999921</v>
      </c>
      <c r="J86" s="3">
        <v>9313.279311680144</v>
      </c>
      <c r="K86" s="3">
        <v>9313.279311680144</v>
      </c>
      <c r="L86" s="3">
        <v>0.1229823136083898</v>
      </c>
      <c r="M86" s="3">
        <v>442.9432554369</v>
      </c>
      <c r="N86" s="3">
        <v>8870.336056243244</v>
      </c>
      <c r="O86" s="3">
        <v>8870.336056243244</v>
      </c>
      <c r="P86" s="3">
        <v>5.8</v>
      </c>
    </row>
    <row r="87" ht="15.75" customHeight="1">
      <c r="A87" s="3" t="s">
        <v>51</v>
      </c>
      <c r="B87" s="3">
        <v>1.0</v>
      </c>
      <c r="C87" s="3" t="s">
        <v>274</v>
      </c>
      <c r="D87" s="3">
        <v>27893.0</v>
      </c>
      <c r="E87" s="3">
        <v>75728.60713400003</v>
      </c>
      <c r="F87" s="3">
        <v>0.0</v>
      </c>
      <c r="G87" s="3">
        <v>3299.770275210947</v>
      </c>
      <c r="H87" s="3">
        <v>57.31199999999998</v>
      </c>
      <c r="I87" s="3">
        <v>10404.46299999965</v>
      </c>
      <c r="J87" s="3">
        <v>13761.5452752106</v>
      </c>
      <c r="K87" s="3">
        <v>23074.82458689074</v>
      </c>
      <c r="L87" s="3">
        <v>0.3047041991154065</v>
      </c>
      <c r="M87" s="3">
        <v>1031.5859931086</v>
      </c>
      <c r="N87" s="3">
        <v>12729.959282102</v>
      </c>
      <c r="O87" s="3">
        <v>21600.29533834524</v>
      </c>
      <c r="P87" s="3">
        <v>5.8</v>
      </c>
    </row>
    <row r="88" ht="15.75" customHeight="1">
      <c r="A88" s="3" t="s">
        <v>51</v>
      </c>
      <c r="B88" s="3">
        <v>2.0</v>
      </c>
      <c r="C88" s="3" t="s">
        <v>275</v>
      </c>
      <c r="D88" s="3">
        <v>27893.0</v>
      </c>
      <c r="E88" s="3">
        <v>75728.60713400003</v>
      </c>
      <c r="F88" s="3">
        <v>0.0</v>
      </c>
      <c r="G88" s="3">
        <v>6200.440045901561</v>
      </c>
      <c r="H88" s="3">
        <v>66.86399999999998</v>
      </c>
      <c r="I88" s="3">
        <v>17543.99749999934</v>
      </c>
      <c r="J88" s="3">
        <v>23811.3015459009</v>
      </c>
      <c r="K88" s="3">
        <v>46886.12613279164</v>
      </c>
      <c r="L88" s="3">
        <v>0.619133612874032</v>
      </c>
      <c r="M88" s="3">
        <v>3902.627488456699</v>
      </c>
      <c r="N88" s="3">
        <v>19908.6740574442</v>
      </c>
      <c r="O88" s="3">
        <v>41508.96939578944</v>
      </c>
      <c r="P88" s="3">
        <v>5.8</v>
      </c>
    </row>
    <row r="89" ht="15.75" customHeight="1">
      <c r="A89" s="3" t="s">
        <v>51</v>
      </c>
      <c r="B89" s="3">
        <v>3.0</v>
      </c>
      <c r="C89" s="3" t="s">
        <v>276</v>
      </c>
      <c r="D89" s="3">
        <v>27893.0</v>
      </c>
      <c r="E89" s="3">
        <v>75728.60713400003</v>
      </c>
      <c r="F89" s="3">
        <v>0.0</v>
      </c>
      <c r="G89" s="3">
        <v>5851.212413581187</v>
      </c>
      <c r="H89" s="3">
        <v>78.00799999999997</v>
      </c>
      <c r="I89" s="3">
        <v>15755.91899999936</v>
      </c>
      <c r="J89" s="3">
        <v>21685.13941358055</v>
      </c>
      <c r="K89" s="3">
        <v>68571.26554637219</v>
      </c>
      <c r="L89" s="3">
        <v>0.9054869505923556</v>
      </c>
      <c r="M89" s="3">
        <v>3853.3790283019</v>
      </c>
      <c r="N89" s="3">
        <v>17831.76038527865</v>
      </c>
      <c r="O89" s="3">
        <v>59340.72978106808</v>
      </c>
      <c r="P89" s="3">
        <v>5.8</v>
      </c>
    </row>
    <row r="90" ht="15.75" customHeight="1">
      <c r="A90" s="3" t="s">
        <v>51</v>
      </c>
      <c r="B90" s="3">
        <v>4.0</v>
      </c>
      <c r="C90" s="3" t="s">
        <v>277</v>
      </c>
      <c r="D90" s="3">
        <v>27893.0</v>
      </c>
      <c r="E90" s="3">
        <v>75728.60713400003</v>
      </c>
      <c r="F90" s="3">
        <v>0.0</v>
      </c>
      <c r="G90" s="3">
        <v>5471.938497199993</v>
      </c>
      <c r="H90" s="3">
        <v>87.55999999999996</v>
      </c>
      <c r="I90" s="3">
        <v>10094.96849999973</v>
      </c>
      <c r="J90" s="3">
        <v>15654.46699719972</v>
      </c>
      <c r="K90" s="3">
        <v>84225.73254357191</v>
      </c>
      <c r="L90" s="3">
        <v>1.112204960993623</v>
      </c>
      <c r="M90" s="3">
        <v>6007.7309631794</v>
      </c>
      <c r="N90" s="3">
        <v>9646.736034020323</v>
      </c>
      <c r="O90" s="3">
        <v>68987.4658150884</v>
      </c>
      <c r="P90" s="3">
        <v>5.8</v>
      </c>
    </row>
    <row r="91" ht="15.75" customHeight="1">
      <c r="A91" s="3" t="s">
        <v>51</v>
      </c>
      <c r="B91" s="3">
        <v>5.0</v>
      </c>
      <c r="C91" s="3" t="s">
        <v>278</v>
      </c>
      <c r="D91" s="3">
        <v>27893.0</v>
      </c>
      <c r="E91" s="3">
        <v>75728.60713400003</v>
      </c>
      <c r="F91" s="3">
        <v>0.0</v>
      </c>
      <c r="G91" s="3">
        <v>3493.595562681656</v>
      </c>
      <c r="H91" s="3">
        <v>60.49599999999997</v>
      </c>
      <c r="I91" s="3">
        <v>2647.44599999989</v>
      </c>
      <c r="J91" s="3">
        <v>6201.537562681546</v>
      </c>
      <c r="K91" s="3">
        <v>90427.27010625346</v>
      </c>
      <c r="L91" s="3">
        <v>1.194096571012385</v>
      </c>
      <c r="M91" s="3">
        <v>3161.3435764742</v>
      </c>
      <c r="N91" s="3">
        <v>3040.193986207346</v>
      </c>
      <c r="O91" s="3">
        <v>72027.65980129575</v>
      </c>
      <c r="P91" s="3">
        <v>5.8</v>
      </c>
    </row>
    <row r="92" ht="15.75" customHeight="1">
      <c r="A92" s="3" t="s">
        <v>51</v>
      </c>
      <c r="B92" s="3">
        <v>6.0</v>
      </c>
      <c r="C92" s="3" t="s">
        <v>279</v>
      </c>
      <c r="D92" s="3">
        <v>27893.0</v>
      </c>
      <c r="E92" s="3">
        <v>75728.60713400003</v>
      </c>
      <c r="F92" s="3">
        <v>0.0</v>
      </c>
      <c r="G92" s="3">
        <v>2543.517713533772</v>
      </c>
      <c r="H92" s="3">
        <v>27.064</v>
      </c>
      <c r="I92" s="3">
        <v>4499.9839999999</v>
      </c>
      <c r="J92" s="3">
        <v>7070.565713533672</v>
      </c>
      <c r="K92" s="3">
        <v>97497.83581978711</v>
      </c>
      <c r="L92" s="3">
        <v>1.287463740713822</v>
      </c>
      <c r="M92" s="3">
        <v>2292.5965551384</v>
      </c>
      <c r="N92" s="3">
        <v>4777.969158395272</v>
      </c>
      <c r="O92" s="3">
        <v>76805.62895969102</v>
      </c>
      <c r="P92" s="3">
        <v>5.8</v>
      </c>
    </row>
    <row r="93" ht="15.75" customHeight="1">
      <c r="A93" s="3" t="s">
        <v>51</v>
      </c>
      <c r="B93" s="3">
        <v>7.0</v>
      </c>
      <c r="C93" s="3" t="s">
        <v>280</v>
      </c>
      <c r="D93" s="3">
        <v>27893.0</v>
      </c>
      <c r="E93" s="3">
        <v>75728.60713400003</v>
      </c>
      <c r="F93" s="3">
        <v>0.0</v>
      </c>
      <c r="G93" s="3">
        <v>2343.094367679704</v>
      </c>
      <c r="H93" s="3">
        <v>31.84</v>
      </c>
      <c r="I93" s="3">
        <v>3641.28249999999</v>
      </c>
      <c r="J93" s="3">
        <v>6016.216867679694</v>
      </c>
      <c r="K93" s="3">
        <v>103514.0526874668</v>
      </c>
      <c r="L93" s="3">
        <v>1.366908181795832</v>
      </c>
      <c r="M93" s="3">
        <v>4382.073613908</v>
      </c>
      <c r="N93" s="3">
        <v>1634.143253771694</v>
      </c>
      <c r="O93" s="3">
        <v>78439.77221346271</v>
      </c>
      <c r="P93" s="3">
        <v>5.8</v>
      </c>
    </row>
    <row r="94" ht="15.75" customHeight="1">
      <c r="A94" s="3" t="s">
        <v>51</v>
      </c>
      <c r="B94" s="3">
        <v>8.0</v>
      </c>
      <c r="C94" s="3" t="s">
        <v>281</v>
      </c>
      <c r="D94" s="3">
        <v>27893.0</v>
      </c>
      <c r="E94" s="3">
        <v>75728.60713400003</v>
      </c>
      <c r="F94" s="3">
        <v>0.0</v>
      </c>
      <c r="G94" s="3">
        <v>1284.772261041486</v>
      </c>
      <c r="H94" s="3">
        <v>30.248</v>
      </c>
      <c r="I94" s="3">
        <v>2602.869000000006</v>
      </c>
      <c r="J94" s="3">
        <v>3917.889261041492</v>
      </c>
      <c r="K94" s="3">
        <v>107431.9419485083</v>
      </c>
      <c r="L94" s="3">
        <v>1.418644103124859</v>
      </c>
      <c r="M94" s="3">
        <v>1799.2405879499</v>
      </c>
      <c r="N94" s="3">
        <v>2118.648673091592</v>
      </c>
      <c r="O94" s="3">
        <v>80558.4208865543</v>
      </c>
      <c r="P94" s="3">
        <v>5.8</v>
      </c>
    </row>
    <row r="95" ht="15.75" customHeight="1">
      <c r="A95" s="3" t="s">
        <v>51</v>
      </c>
      <c r="B95" s="3">
        <v>9.0</v>
      </c>
      <c r="C95" s="3" t="s">
        <v>282</v>
      </c>
      <c r="D95" s="3">
        <v>27893.0</v>
      </c>
      <c r="E95" s="3">
        <v>75728.60713400003</v>
      </c>
      <c r="F95" s="3">
        <v>0.0</v>
      </c>
      <c r="G95" s="3">
        <v>1294.25680615065</v>
      </c>
      <c r="H95" s="3">
        <v>58.90399999999998</v>
      </c>
      <c r="I95" s="3">
        <v>2236.016500000004</v>
      </c>
      <c r="J95" s="3">
        <v>3589.177306150654</v>
      </c>
      <c r="K95" s="3">
        <v>111021.119254659</v>
      </c>
      <c r="L95" s="3">
        <v>1.46603936684336</v>
      </c>
      <c r="M95" s="3">
        <v>1226.7006588871</v>
      </c>
      <c r="N95" s="3">
        <v>2362.476647263554</v>
      </c>
      <c r="O95" s="3">
        <v>82920.89753381786</v>
      </c>
      <c r="P95" s="3">
        <v>5.8</v>
      </c>
    </row>
    <row r="96" ht="15.75" customHeight="1">
      <c r="A96" s="3" t="s">
        <v>51</v>
      </c>
      <c r="B96" s="3">
        <v>10.0</v>
      </c>
      <c r="C96" s="3" t="s">
        <v>283</v>
      </c>
      <c r="D96" s="3">
        <v>27893.0</v>
      </c>
      <c r="E96" s="3">
        <v>75728.60713400003</v>
      </c>
      <c r="F96" s="3">
        <v>0.0</v>
      </c>
      <c r="G96" s="3">
        <v>1780.521750045495</v>
      </c>
      <c r="H96" s="3">
        <v>31.84</v>
      </c>
      <c r="I96" s="3">
        <v>2808.734999999956</v>
      </c>
      <c r="J96" s="3">
        <v>4621.096750045451</v>
      </c>
      <c r="K96" s="3">
        <v>115642.2160047044</v>
      </c>
      <c r="L96" s="3">
        <v>1.527061177819871</v>
      </c>
      <c r="M96" s="3">
        <v>2032.5180318214</v>
      </c>
      <c r="N96" s="3">
        <v>2588.578718224051</v>
      </c>
      <c r="O96" s="3">
        <v>85509.4762520419</v>
      </c>
      <c r="P96" s="3">
        <v>5.8</v>
      </c>
    </row>
    <row r="97" ht="15.75" customHeight="1">
      <c r="A97" s="3" t="s">
        <v>51</v>
      </c>
      <c r="B97" s="3">
        <v>11.0</v>
      </c>
      <c r="C97" s="3" t="s">
        <v>284</v>
      </c>
      <c r="D97" s="3">
        <v>27893.0</v>
      </c>
      <c r="E97" s="3">
        <v>75728.60713400003</v>
      </c>
      <c r="F97" s="3">
        <v>0.0</v>
      </c>
      <c r="G97" s="3">
        <v>1156.889748120696</v>
      </c>
      <c r="H97" s="3">
        <v>14.328</v>
      </c>
      <c r="I97" s="3">
        <v>2786.153100000008</v>
      </c>
      <c r="J97" s="3">
        <v>3957.370848120704</v>
      </c>
      <c r="K97" s="3">
        <v>119599.5868528251</v>
      </c>
      <c r="L97" s="3">
        <v>1.57931845545761</v>
      </c>
      <c r="M97" s="3">
        <v>1697.0537857955</v>
      </c>
      <c r="N97" s="3">
        <v>2260.317062325204</v>
      </c>
      <c r="O97" s="3">
        <v>87769.79331436711</v>
      </c>
      <c r="P97" s="3">
        <v>5.8</v>
      </c>
    </row>
    <row r="98" ht="15.75" customHeight="1">
      <c r="A98" s="3" t="s">
        <v>51</v>
      </c>
      <c r="B98" s="3">
        <v>12.0</v>
      </c>
      <c r="C98" s="3" t="s">
        <v>285</v>
      </c>
      <c r="D98" s="3">
        <v>27893.0</v>
      </c>
      <c r="E98" s="3">
        <v>75728.60713400003</v>
      </c>
      <c r="F98" s="3">
        <v>0.0</v>
      </c>
      <c r="G98" s="3">
        <v>672.5089214517957</v>
      </c>
      <c r="H98" s="3">
        <v>17.512</v>
      </c>
      <c r="I98" s="3">
        <v>4502.104099999911</v>
      </c>
      <c r="J98" s="3">
        <v>5192.125021451707</v>
      </c>
      <c r="K98" s="3">
        <v>124791.7118742768</v>
      </c>
      <c r="L98" s="3">
        <v>1.647880722980429</v>
      </c>
      <c r="M98" s="3">
        <v>1510.8310099957</v>
      </c>
      <c r="N98" s="3">
        <v>3681.294011456007</v>
      </c>
      <c r="O98" s="3">
        <v>91451.08732582311</v>
      </c>
      <c r="P98" s="3">
        <v>5.8</v>
      </c>
    </row>
    <row r="99" ht="15.75" customHeight="1">
      <c r="A99" s="3" t="s">
        <v>51</v>
      </c>
      <c r="B99" s="3">
        <v>13.0</v>
      </c>
      <c r="C99" s="3" t="s">
        <v>286</v>
      </c>
      <c r="D99" s="3">
        <v>27893.0</v>
      </c>
      <c r="E99" s="3">
        <v>75728.60713400003</v>
      </c>
      <c r="F99" s="3">
        <v>0.0</v>
      </c>
      <c r="G99" s="3">
        <v>1136.327564800026</v>
      </c>
      <c r="H99" s="3">
        <v>39.79999999999999</v>
      </c>
      <c r="I99" s="3">
        <v>2049.353000000003</v>
      </c>
      <c r="J99" s="3">
        <v>3225.480564800029</v>
      </c>
      <c r="K99" s="3">
        <v>128017.1924390768</v>
      </c>
      <c r="L99" s="3">
        <v>1.690473353254119</v>
      </c>
      <c r="M99" s="3">
        <v>4561.4206547067</v>
      </c>
      <c r="N99" s="3">
        <v>-1335.94008990667</v>
      </c>
      <c r="O99" s="3">
        <v>90115.14723591645</v>
      </c>
      <c r="P99" s="3">
        <v>5.8</v>
      </c>
    </row>
    <row r="100" ht="15.75" customHeight="1">
      <c r="A100" s="3" t="s">
        <v>51</v>
      </c>
      <c r="B100" s="3">
        <v>14.0</v>
      </c>
      <c r="C100" s="3" t="s">
        <v>287</v>
      </c>
      <c r="D100" s="3">
        <v>27893.0</v>
      </c>
      <c r="E100" s="3">
        <v>75728.60713400003</v>
      </c>
      <c r="F100" s="3">
        <v>0.0</v>
      </c>
      <c r="G100" s="3">
        <v>830.2922852389306</v>
      </c>
      <c r="H100" s="3">
        <v>23.88</v>
      </c>
      <c r="I100" s="3">
        <v>3822.689299999946</v>
      </c>
      <c r="J100" s="3">
        <v>4676.861585238877</v>
      </c>
      <c r="K100" s="3">
        <v>132694.0540243157</v>
      </c>
      <c r="L100" s="3">
        <v>1.75223154163547</v>
      </c>
      <c r="M100" s="3">
        <v>3612.9708805697</v>
      </c>
      <c r="N100" s="3">
        <v>1063.890704669177</v>
      </c>
      <c r="O100" s="3">
        <v>91179.03794058562</v>
      </c>
      <c r="P100" s="3">
        <v>5.8</v>
      </c>
    </row>
    <row r="101" ht="15.75" customHeight="1">
      <c r="A101" s="3" t="s">
        <v>51</v>
      </c>
      <c r="B101" s="3">
        <v>15.0</v>
      </c>
      <c r="C101" s="3" t="s">
        <v>288</v>
      </c>
      <c r="D101" s="3">
        <v>27893.0</v>
      </c>
      <c r="E101" s="3">
        <v>75728.60713400003</v>
      </c>
      <c r="F101" s="3">
        <v>0.0</v>
      </c>
      <c r="G101" s="3">
        <v>561.0543791197343</v>
      </c>
      <c r="H101" s="3">
        <v>15.92</v>
      </c>
      <c r="I101" s="3">
        <v>7877.002299999943</v>
      </c>
      <c r="J101" s="3">
        <v>8453.976679119678</v>
      </c>
      <c r="K101" s="3">
        <v>141148.0307034354</v>
      </c>
      <c r="L101" s="3">
        <v>1.863866721510897</v>
      </c>
      <c r="M101" s="3">
        <v>9230.66286927</v>
      </c>
      <c r="N101" s="3">
        <v>-776.6861901503216</v>
      </c>
      <c r="O101" s="3">
        <v>90402.35175043532</v>
      </c>
      <c r="P101" s="3">
        <v>5.8</v>
      </c>
    </row>
    <row r="102" ht="15.75" customHeight="1">
      <c r="A102" s="3" t="s">
        <v>51</v>
      </c>
      <c r="B102" s="3">
        <v>16.0</v>
      </c>
      <c r="C102" s="3" t="s">
        <v>289</v>
      </c>
      <c r="D102" s="3">
        <v>27893.0</v>
      </c>
      <c r="E102" s="3">
        <v>75728.60713400003</v>
      </c>
      <c r="F102" s="3">
        <v>0.0</v>
      </c>
      <c r="G102" s="3">
        <v>568.6765644561779</v>
      </c>
      <c r="H102" s="3">
        <v>23.88</v>
      </c>
      <c r="I102" s="3">
        <v>2990.324700000001</v>
      </c>
      <c r="J102" s="3">
        <v>3582.881264456179</v>
      </c>
      <c r="K102" s="3">
        <v>144730.9119678916</v>
      </c>
      <c r="L102" s="3">
        <v>1.911178845687648</v>
      </c>
      <c r="M102" s="3">
        <v>1311.2305159805</v>
      </c>
      <c r="N102" s="3">
        <v>2271.650748475679</v>
      </c>
      <c r="O102" s="3">
        <v>92674.00249891098</v>
      </c>
      <c r="P102" s="3">
        <v>5.8</v>
      </c>
    </row>
    <row r="103" ht="15.75" customHeight="1">
      <c r="A103" s="3" t="s">
        <v>51</v>
      </c>
      <c r="B103" s="3">
        <v>17.0</v>
      </c>
      <c r="C103" s="3" t="s">
        <v>290</v>
      </c>
      <c r="D103" s="3">
        <v>27893.0</v>
      </c>
      <c r="E103" s="3">
        <v>75728.60713400003</v>
      </c>
      <c r="F103" s="3">
        <v>0.0</v>
      </c>
      <c r="G103" s="3">
        <v>886.9068831148122</v>
      </c>
      <c r="H103" s="3">
        <v>11.144</v>
      </c>
      <c r="I103" s="3">
        <v>2343.152100000002</v>
      </c>
      <c r="J103" s="3">
        <v>3241.202983114814</v>
      </c>
      <c r="K103" s="3">
        <v>147972.1149510064</v>
      </c>
      <c r="L103" s="3">
        <v>1.953979091272247</v>
      </c>
      <c r="M103" s="3">
        <v>2194.4265308774</v>
      </c>
      <c r="N103" s="3">
        <v>1046.776452237415</v>
      </c>
      <c r="O103" s="3">
        <v>93720.7789511484</v>
      </c>
      <c r="P103" s="3">
        <v>5.8</v>
      </c>
    </row>
    <row r="104" ht="15.75" customHeight="1">
      <c r="A104" s="3" t="s">
        <v>51</v>
      </c>
      <c r="B104" s="3">
        <v>18.0</v>
      </c>
      <c r="C104" s="3" t="s">
        <v>291</v>
      </c>
      <c r="D104" s="3">
        <v>27893.0</v>
      </c>
      <c r="E104" s="3">
        <v>75728.60713400003</v>
      </c>
      <c r="F104" s="3">
        <v>0.0</v>
      </c>
      <c r="G104" s="3">
        <v>615.1391050902414</v>
      </c>
      <c r="H104" s="3">
        <v>22.288</v>
      </c>
      <c r="I104" s="3">
        <v>2619.998300000003</v>
      </c>
      <c r="J104" s="3">
        <v>3257.425405090245</v>
      </c>
      <c r="K104" s="3">
        <v>151229.5403560966</v>
      </c>
      <c r="L104" s="3">
        <v>1.996993554740805</v>
      </c>
      <c r="M104" s="3">
        <v>873.7213255293</v>
      </c>
      <c r="N104" s="3">
        <v>2383.704079560945</v>
      </c>
      <c r="O104" s="3">
        <v>96104.48303070937</v>
      </c>
      <c r="P104" s="3">
        <v>5.8</v>
      </c>
    </row>
    <row r="105" ht="15.75" customHeight="1">
      <c r="A105" s="3" t="s">
        <v>51</v>
      </c>
      <c r="B105" s="3">
        <v>19.0</v>
      </c>
      <c r="C105" s="3" t="s">
        <v>292</v>
      </c>
      <c r="D105" s="3">
        <v>27893.0</v>
      </c>
      <c r="E105" s="3">
        <v>75728.60713400003</v>
      </c>
      <c r="F105" s="3">
        <v>0.0</v>
      </c>
      <c r="G105" s="3">
        <v>679.3383533145366</v>
      </c>
      <c r="H105" s="3">
        <v>11.144</v>
      </c>
      <c r="I105" s="3">
        <v>2431.685400000003</v>
      </c>
      <c r="J105" s="3">
        <v>3122.16775331454</v>
      </c>
      <c r="K105" s="3">
        <v>154351.7081094112</v>
      </c>
      <c r="L105" s="3">
        <v>2.038221934232718</v>
      </c>
      <c r="M105" s="3">
        <v>1000.48957271</v>
      </c>
      <c r="N105" s="3">
        <v>2121.67818060454</v>
      </c>
      <c r="O105" s="3">
        <v>98226.16121131388</v>
      </c>
      <c r="P105" s="3">
        <v>5.8</v>
      </c>
    </row>
    <row r="106" ht="15.75" customHeight="1">
      <c r="A106" s="3" t="s">
        <v>51</v>
      </c>
      <c r="B106" s="3">
        <v>20.0</v>
      </c>
      <c r="C106" s="3" t="s">
        <v>293</v>
      </c>
      <c r="D106" s="3">
        <v>27893.0</v>
      </c>
      <c r="E106" s="3">
        <v>75728.60713400003</v>
      </c>
      <c r="F106" s="3">
        <v>0.0</v>
      </c>
      <c r="G106" s="3">
        <v>708.13395540393</v>
      </c>
      <c r="H106" s="3">
        <v>11.144</v>
      </c>
      <c r="I106" s="3">
        <v>1941.462100000002</v>
      </c>
      <c r="J106" s="3">
        <v>2660.740055403932</v>
      </c>
      <c r="K106" s="3">
        <v>157012.4481648151</v>
      </c>
      <c r="L106" s="3">
        <v>2.073357138168212</v>
      </c>
      <c r="M106" s="3">
        <v>1327.5812913843</v>
      </c>
      <c r="N106" s="3">
        <v>1333.158764019632</v>
      </c>
      <c r="O106" s="3">
        <v>99559.31997533352</v>
      </c>
      <c r="P106" s="3">
        <v>5.8</v>
      </c>
    </row>
    <row r="107" ht="15.75" customHeight="1">
      <c r="A107" s="3" t="s">
        <v>51</v>
      </c>
      <c r="B107" s="3">
        <v>21.0</v>
      </c>
      <c r="C107" s="3" t="s">
        <v>294</v>
      </c>
      <c r="D107" s="3">
        <v>27893.0</v>
      </c>
      <c r="E107" s="3">
        <v>75728.60713400003</v>
      </c>
      <c r="F107" s="3">
        <v>0.0</v>
      </c>
      <c r="G107" s="3">
        <v>491.3204021650986</v>
      </c>
      <c r="H107" s="3">
        <v>19.104</v>
      </c>
      <c r="I107" s="3">
        <v>2733.125400000001</v>
      </c>
      <c r="J107" s="3">
        <v>3243.549802165099</v>
      </c>
      <c r="K107" s="3">
        <v>160255.9979669802</v>
      </c>
      <c r="L107" s="3">
        <v>2.116188373614358</v>
      </c>
      <c r="M107" s="3">
        <v>2186.3615962955</v>
      </c>
      <c r="N107" s="3">
        <v>1057.188205869599</v>
      </c>
      <c r="O107" s="3">
        <v>100616.5081812031</v>
      </c>
      <c r="P107" s="3">
        <v>5.8</v>
      </c>
    </row>
    <row r="108" ht="15.75" customHeight="1">
      <c r="A108" s="3" t="s">
        <v>51</v>
      </c>
      <c r="B108" s="3">
        <v>22.0</v>
      </c>
      <c r="C108" s="3" t="s">
        <v>295</v>
      </c>
      <c r="D108" s="3">
        <v>27893.0</v>
      </c>
      <c r="E108" s="3">
        <v>75728.60713400003</v>
      </c>
      <c r="F108" s="3">
        <v>0.0</v>
      </c>
      <c r="G108" s="3">
        <v>864.7542567980022</v>
      </c>
      <c r="H108" s="3">
        <v>14.328</v>
      </c>
      <c r="I108" s="3">
        <v>3461.3453</v>
      </c>
      <c r="J108" s="3">
        <v>4340.427556798002</v>
      </c>
      <c r="K108" s="3">
        <v>164596.4255237782</v>
      </c>
      <c r="L108" s="3">
        <v>2.173503934022299</v>
      </c>
      <c r="M108" s="3">
        <v>1976.9302861437</v>
      </c>
      <c r="N108" s="3">
        <v>2363.497270654302</v>
      </c>
      <c r="O108" s="3">
        <v>102980.0054518574</v>
      </c>
      <c r="P108" s="3">
        <v>5.8</v>
      </c>
    </row>
    <row r="109" ht="15.75" customHeight="1">
      <c r="A109" s="3" t="s">
        <v>51</v>
      </c>
      <c r="B109" s="3">
        <v>23.0</v>
      </c>
      <c r="C109" s="3" t="s">
        <v>296</v>
      </c>
      <c r="D109" s="3">
        <v>27893.0</v>
      </c>
      <c r="E109" s="3">
        <v>75728.60713400003</v>
      </c>
      <c r="F109" s="3">
        <v>0.0</v>
      </c>
      <c r="G109" s="3">
        <v>648.1988296738709</v>
      </c>
      <c r="H109" s="3">
        <v>14.328</v>
      </c>
      <c r="I109" s="3">
        <v>2511.343</v>
      </c>
      <c r="J109" s="3">
        <v>3173.869829673871</v>
      </c>
      <c r="K109" s="3">
        <v>167770.2953534521</v>
      </c>
      <c r="L109" s="3">
        <v>2.21541504198785</v>
      </c>
      <c r="M109" s="3">
        <v>862.4352608853001</v>
      </c>
      <c r="N109" s="3">
        <v>2311.434568788571</v>
      </c>
      <c r="O109" s="3">
        <v>105291.440020646</v>
      </c>
      <c r="P109" s="3">
        <v>5.8</v>
      </c>
    </row>
    <row r="110" ht="15.75" customHeight="1">
      <c r="A110" s="3" t="s">
        <v>51</v>
      </c>
      <c r="B110" s="3">
        <v>24.0</v>
      </c>
      <c r="C110" s="3" t="s">
        <v>297</v>
      </c>
      <c r="D110" s="3">
        <v>27893.0</v>
      </c>
      <c r="E110" s="3">
        <v>75728.60713400003</v>
      </c>
      <c r="F110" s="3">
        <v>0.0</v>
      </c>
      <c r="G110" s="3">
        <v>406.1228426929845</v>
      </c>
      <c r="H110" s="3">
        <v>12.736</v>
      </c>
      <c r="I110" s="3">
        <v>2226.5656</v>
      </c>
      <c r="J110" s="3">
        <v>2645.424442692985</v>
      </c>
      <c r="K110" s="3">
        <v>170415.7197961451</v>
      </c>
      <c r="L110" s="3">
        <v>2.25034800250054</v>
      </c>
      <c r="M110" s="3">
        <v>595.2750185433999</v>
      </c>
      <c r="N110" s="3">
        <v>2050.149424149585</v>
      </c>
      <c r="O110" s="3">
        <v>107341.5894447956</v>
      </c>
      <c r="P110" s="3">
        <v>5.8</v>
      </c>
    </row>
    <row r="111" ht="15.75" customHeight="1">
      <c r="A111" s="3" t="s">
        <v>51</v>
      </c>
      <c r="B111" s="3">
        <v>25.0</v>
      </c>
      <c r="C111" s="3" t="s">
        <v>298</v>
      </c>
      <c r="D111" s="3">
        <v>27893.0</v>
      </c>
      <c r="E111" s="3">
        <v>75728.60713400003</v>
      </c>
      <c r="F111" s="3">
        <v>0.0</v>
      </c>
      <c r="G111" s="3">
        <v>328.1129259148151</v>
      </c>
      <c r="H111" s="3">
        <v>9.552</v>
      </c>
      <c r="I111" s="3">
        <v>3452.514000000002</v>
      </c>
      <c r="J111" s="3">
        <v>3790.178925914817</v>
      </c>
      <c r="K111" s="3">
        <v>174205.8987220599</v>
      </c>
      <c r="L111" s="3">
        <v>2.300397502542289</v>
      </c>
      <c r="M111" s="3">
        <v>1099.9403818876</v>
      </c>
      <c r="N111" s="3">
        <v>2690.238544027217</v>
      </c>
      <c r="O111" s="3">
        <v>110031.8279888228</v>
      </c>
      <c r="P111" s="3">
        <v>5.8</v>
      </c>
    </row>
    <row r="112" ht="15.75" customHeight="1">
      <c r="A112" s="3" t="s">
        <v>51</v>
      </c>
      <c r="B112" s="3">
        <v>26.0</v>
      </c>
      <c r="C112" s="3" t="s">
        <v>299</v>
      </c>
      <c r="D112" s="3">
        <v>27893.0</v>
      </c>
      <c r="E112" s="3">
        <v>75728.60713400003</v>
      </c>
      <c r="F112" s="3">
        <v>0.0</v>
      </c>
      <c r="G112" s="3">
        <v>332.1449585272347</v>
      </c>
      <c r="H112" s="3">
        <v>15.92</v>
      </c>
      <c r="I112" s="3">
        <v>2114.783300000001</v>
      </c>
      <c r="J112" s="3">
        <v>2462.848258527235</v>
      </c>
      <c r="K112" s="3">
        <v>176668.7469805871</v>
      </c>
      <c r="L112" s="3">
        <v>2.332919535519461</v>
      </c>
      <c r="M112" s="3">
        <v>1009.328250334</v>
      </c>
      <c r="N112" s="3">
        <v>1453.520008193235</v>
      </c>
      <c r="O112" s="3">
        <v>111485.347997016</v>
      </c>
      <c r="P112" s="3">
        <v>5.8</v>
      </c>
    </row>
    <row r="113" ht="15.75" customHeight="1">
      <c r="A113" s="3" t="s">
        <v>51</v>
      </c>
      <c r="B113" s="3">
        <v>27.0</v>
      </c>
      <c r="C113" s="3" t="s">
        <v>300</v>
      </c>
      <c r="D113" s="3">
        <v>27893.0</v>
      </c>
      <c r="E113" s="3">
        <v>75728.60713400003</v>
      </c>
      <c r="F113" s="3">
        <v>0.0</v>
      </c>
      <c r="G113" s="3">
        <v>590.4087777079627</v>
      </c>
      <c r="H113" s="3">
        <v>20.696</v>
      </c>
      <c r="I113" s="3">
        <v>2525.729200000002</v>
      </c>
      <c r="J113" s="3">
        <v>3136.833977707965</v>
      </c>
      <c r="K113" s="3">
        <v>179805.5809582951</v>
      </c>
      <c r="L113" s="3">
        <v>2.374341583229349</v>
      </c>
      <c r="M113" s="3">
        <v>1211.4307192104</v>
      </c>
      <c r="N113" s="3">
        <v>1925.403258497564</v>
      </c>
      <c r="O113" s="3">
        <v>113410.7512555136</v>
      </c>
      <c r="P113" s="3">
        <v>5.8</v>
      </c>
    </row>
    <row r="114" ht="15.75" customHeight="1">
      <c r="A114" s="3" t="s">
        <v>51</v>
      </c>
      <c r="B114" s="3">
        <v>28.0</v>
      </c>
      <c r="C114" s="3" t="s">
        <v>301</v>
      </c>
      <c r="D114" s="3">
        <v>27893.0</v>
      </c>
      <c r="E114" s="3">
        <v>75728.60713400003</v>
      </c>
      <c r="F114" s="3">
        <v>0.0</v>
      </c>
      <c r="G114" s="3">
        <v>445.1949980627214</v>
      </c>
      <c r="H114" s="3">
        <v>12.736</v>
      </c>
      <c r="I114" s="3">
        <v>2916.657000000001</v>
      </c>
      <c r="J114" s="3">
        <v>3374.587998062722</v>
      </c>
      <c r="K114" s="3">
        <v>183180.1689563578</v>
      </c>
      <c r="L114" s="3">
        <v>2.41890318452873</v>
      </c>
      <c r="M114" s="3">
        <v>92.3746801498</v>
      </c>
      <c r="N114" s="3">
        <v>3282.213317912922</v>
      </c>
      <c r="O114" s="3">
        <v>116692.9645734265</v>
      </c>
      <c r="P114" s="3">
        <v>5.8</v>
      </c>
    </row>
    <row r="115" ht="15.75" customHeight="1">
      <c r="A115" s="3" t="s">
        <v>51</v>
      </c>
      <c r="B115" s="3">
        <v>29.0</v>
      </c>
      <c r="C115" s="3" t="s">
        <v>302</v>
      </c>
      <c r="D115" s="3">
        <v>27893.0</v>
      </c>
      <c r="E115" s="3">
        <v>75728.60713400003</v>
      </c>
      <c r="F115" s="3">
        <v>0.0</v>
      </c>
      <c r="G115" s="3">
        <v>527.042559628736</v>
      </c>
      <c r="H115" s="3">
        <v>12.736</v>
      </c>
      <c r="I115" s="3">
        <v>3132.752399999987</v>
      </c>
      <c r="J115" s="3">
        <v>3672.530959628723</v>
      </c>
      <c r="K115" s="3">
        <v>186852.6999159865</v>
      </c>
      <c r="L115" s="3">
        <v>2.467399137361063</v>
      </c>
      <c r="M115" s="3">
        <v>2100.9713423023</v>
      </c>
      <c r="N115" s="3">
        <v>1571.559617326423</v>
      </c>
      <c r="O115" s="3">
        <v>118264.5241907529</v>
      </c>
      <c r="P115" s="3">
        <v>5.8</v>
      </c>
    </row>
    <row r="116" ht="15.75" customHeight="1">
      <c r="A116" s="3" t="s">
        <v>51</v>
      </c>
      <c r="B116" s="3">
        <v>30.0</v>
      </c>
      <c r="C116" s="3" t="s">
        <v>303</v>
      </c>
      <c r="D116" s="3">
        <v>27893.0</v>
      </c>
      <c r="E116" s="3">
        <v>75728.60713400003</v>
      </c>
      <c r="F116" s="3">
        <v>0.0</v>
      </c>
      <c r="G116" s="3">
        <v>290.1139317973015</v>
      </c>
      <c r="H116" s="3">
        <v>3.184</v>
      </c>
      <c r="I116" s="3">
        <v>2047.728300000001</v>
      </c>
      <c r="J116" s="3">
        <v>2341.026231797302</v>
      </c>
      <c r="K116" s="3">
        <v>189193.7261477838</v>
      </c>
      <c r="L116" s="3">
        <v>2.498312504454358</v>
      </c>
      <c r="M116" s="3">
        <v>682.0432269291001</v>
      </c>
      <c r="N116" s="3">
        <v>1658.983004868202</v>
      </c>
      <c r="O116" s="3">
        <v>119923.5071956212</v>
      </c>
      <c r="P116" s="3">
        <v>5.8</v>
      </c>
    </row>
    <row r="117" ht="15.75" customHeight="1">
      <c r="A117" s="3" t="s">
        <v>51</v>
      </c>
      <c r="B117" s="3">
        <v>31.0</v>
      </c>
      <c r="C117" s="3" t="s">
        <v>304</v>
      </c>
      <c r="D117" s="3">
        <v>27893.0</v>
      </c>
      <c r="E117" s="3">
        <v>75728.60713400003</v>
      </c>
      <c r="F117" s="3">
        <v>0.0</v>
      </c>
      <c r="G117" s="3">
        <v>392.1678434991782</v>
      </c>
      <c r="H117" s="3">
        <v>11.144</v>
      </c>
      <c r="I117" s="3">
        <v>5469.337199999998</v>
      </c>
      <c r="J117" s="3">
        <v>5872.649043499177</v>
      </c>
      <c r="K117" s="3">
        <v>195066.3751912829</v>
      </c>
      <c r="L117" s="3">
        <v>2.575861125322396</v>
      </c>
      <c r="M117" s="3">
        <v>515.2860738451</v>
      </c>
      <c r="N117" s="3">
        <v>5357.362969654077</v>
      </c>
      <c r="O117" s="3">
        <v>125280.8701652752</v>
      </c>
      <c r="P117" s="3">
        <v>5.8</v>
      </c>
    </row>
    <row r="118" ht="15.75" customHeight="1">
      <c r="A118" s="3" t="s">
        <v>51</v>
      </c>
      <c r="B118" s="3">
        <v>32.0</v>
      </c>
      <c r="C118" s="3" t="s">
        <v>305</v>
      </c>
      <c r="D118" s="3">
        <v>27893.0</v>
      </c>
      <c r="E118" s="3">
        <v>75728.60713400003</v>
      </c>
      <c r="F118" s="3">
        <v>0.0</v>
      </c>
      <c r="G118" s="3">
        <v>566.4741863144213</v>
      </c>
      <c r="H118" s="3">
        <v>9.552</v>
      </c>
      <c r="I118" s="3">
        <v>7313.300499999998</v>
      </c>
      <c r="J118" s="3">
        <v>7889.326686314419</v>
      </c>
      <c r="K118" s="3">
        <v>202955.7018775974</v>
      </c>
      <c r="L118" s="3">
        <v>2.680040074135682</v>
      </c>
      <c r="M118" s="3">
        <v>3763.4172146471</v>
      </c>
      <c r="N118" s="3">
        <v>4125.909471667319</v>
      </c>
      <c r="O118" s="3">
        <v>129406.7796369425</v>
      </c>
      <c r="P118" s="3">
        <v>5.8</v>
      </c>
    </row>
    <row r="119" ht="15.75" customHeight="1">
      <c r="A119" s="3" t="s">
        <v>51</v>
      </c>
      <c r="B119" s="3">
        <v>33.0</v>
      </c>
      <c r="C119" s="3" t="s">
        <v>306</v>
      </c>
      <c r="D119" s="3">
        <v>27893.0</v>
      </c>
      <c r="E119" s="3">
        <v>75728.60713400003</v>
      </c>
      <c r="F119" s="3">
        <v>0.0</v>
      </c>
      <c r="G119" s="3">
        <v>399.6251883719851</v>
      </c>
      <c r="H119" s="3">
        <v>7.960000000000001</v>
      </c>
      <c r="I119" s="3">
        <v>1907.830200000001</v>
      </c>
      <c r="J119" s="3">
        <v>2315.415388371985</v>
      </c>
      <c r="K119" s="3">
        <v>205271.1172659694</v>
      </c>
      <c r="L119" s="3">
        <v>2.710615248775761</v>
      </c>
      <c r="M119" s="3">
        <v>982.2878589517</v>
      </c>
      <c r="N119" s="3">
        <v>1333.127529420286</v>
      </c>
      <c r="O119" s="3">
        <v>130739.9071663628</v>
      </c>
      <c r="P119" s="3">
        <v>5.8</v>
      </c>
    </row>
    <row r="120" ht="15.75" customHeight="1">
      <c r="A120" s="3" t="s">
        <v>51</v>
      </c>
      <c r="B120" s="3">
        <v>34.0</v>
      </c>
      <c r="C120" s="3" t="s">
        <v>307</v>
      </c>
      <c r="D120" s="3">
        <v>27893.0</v>
      </c>
      <c r="E120" s="3">
        <v>75728.60713400003</v>
      </c>
      <c r="F120" s="3">
        <v>0.0</v>
      </c>
      <c r="G120" s="3">
        <v>151.8460552892212</v>
      </c>
      <c r="H120" s="3">
        <v>0.0</v>
      </c>
      <c r="I120" s="3">
        <v>136.159</v>
      </c>
      <c r="J120" s="3">
        <v>288.0050552892212</v>
      </c>
      <c r="K120" s="3">
        <v>205559.1223212586</v>
      </c>
      <c r="L120" s="3">
        <v>2.71441836976516</v>
      </c>
      <c r="M120" s="3">
        <v>0.0</v>
      </c>
      <c r="N120" s="3">
        <v>288.0050552892212</v>
      </c>
      <c r="O120" s="3">
        <v>131027.912221652</v>
      </c>
      <c r="P120" s="3">
        <v>5.8</v>
      </c>
    </row>
    <row r="121" ht="15.75" customHeight="1">
      <c r="A121" s="3" t="s">
        <v>52</v>
      </c>
      <c r="B121" s="3">
        <v>0.0</v>
      </c>
      <c r="C121" s="3" t="s">
        <v>52</v>
      </c>
      <c r="D121" s="3">
        <v>31351.0</v>
      </c>
      <c r="E121" s="3">
        <v>130031.251399</v>
      </c>
      <c r="F121" s="3">
        <v>0.0</v>
      </c>
      <c r="G121" s="3">
        <v>2016.113379612232</v>
      </c>
      <c r="H121" s="3">
        <v>7.960000000000001</v>
      </c>
      <c r="I121" s="3">
        <v>5478.920499999882</v>
      </c>
      <c r="J121" s="3">
        <v>7502.993879612113</v>
      </c>
      <c r="K121" s="3">
        <v>7502.993879612113</v>
      </c>
      <c r="L121" s="3">
        <v>0.0577014663697208</v>
      </c>
      <c r="M121" s="3">
        <v>3300.8632211614</v>
      </c>
      <c r="N121" s="3">
        <v>4202.130658450713</v>
      </c>
      <c r="O121" s="3">
        <v>4202.130658450713</v>
      </c>
      <c r="P121" s="3">
        <v>23.3</v>
      </c>
    </row>
    <row r="122" ht="15.75" customHeight="1">
      <c r="A122" s="3" t="s">
        <v>52</v>
      </c>
      <c r="B122" s="3">
        <v>1.0</v>
      </c>
      <c r="C122" s="3" t="s">
        <v>208</v>
      </c>
      <c r="D122" s="3">
        <v>31351.0</v>
      </c>
      <c r="E122" s="3">
        <v>130031.251399</v>
      </c>
      <c r="F122" s="3">
        <v>0.0</v>
      </c>
      <c r="G122" s="3">
        <v>2780.834962178445</v>
      </c>
      <c r="H122" s="3">
        <v>35.02399999999999</v>
      </c>
      <c r="I122" s="3">
        <v>11490.20849999947</v>
      </c>
      <c r="J122" s="3">
        <v>14306.06746217792</v>
      </c>
      <c r="K122" s="3">
        <v>21809.06134179003</v>
      </c>
      <c r="L122" s="3">
        <v>0.1677216908023832</v>
      </c>
      <c r="M122" s="3">
        <v>1390.4657945041</v>
      </c>
      <c r="N122" s="3">
        <v>12915.60166767382</v>
      </c>
      <c r="O122" s="3">
        <v>17117.73232612453</v>
      </c>
      <c r="P122" s="3">
        <v>23.3</v>
      </c>
    </row>
    <row r="123" ht="15.75" customHeight="1">
      <c r="A123" s="3" t="s">
        <v>52</v>
      </c>
      <c r="B123" s="3">
        <v>2.0</v>
      </c>
      <c r="C123" s="3" t="s">
        <v>209</v>
      </c>
      <c r="D123" s="3">
        <v>31351.0</v>
      </c>
      <c r="E123" s="3">
        <v>130031.251399</v>
      </c>
      <c r="F123" s="3">
        <v>0.0</v>
      </c>
      <c r="G123" s="3">
        <v>5313.145099509956</v>
      </c>
      <c r="H123" s="3">
        <v>70.04799999999997</v>
      </c>
      <c r="I123" s="3">
        <v>15063.67699999917</v>
      </c>
      <c r="J123" s="3">
        <v>20446.87009950912</v>
      </c>
      <c r="K123" s="3">
        <v>42255.93144129915</v>
      </c>
      <c r="L123" s="3">
        <v>0.3249675057854909</v>
      </c>
      <c r="M123" s="3">
        <v>1664.151907027401</v>
      </c>
      <c r="N123" s="3">
        <v>18782.71819248172</v>
      </c>
      <c r="O123" s="3">
        <v>35900.45051860626</v>
      </c>
      <c r="P123" s="3">
        <v>23.3</v>
      </c>
    </row>
    <row r="124" ht="15.75" customHeight="1">
      <c r="A124" s="3" t="s">
        <v>52</v>
      </c>
      <c r="B124" s="3">
        <v>3.0</v>
      </c>
      <c r="C124" s="3" t="s">
        <v>210</v>
      </c>
      <c r="D124" s="3">
        <v>31351.0</v>
      </c>
      <c r="E124" s="3">
        <v>130031.251399</v>
      </c>
      <c r="F124" s="3">
        <v>0.0</v>
      </c>
      <c r="G124" s="3">
        <v>6472.831053055757</v>
      </c>
      <c r="H124" s="3">
        <v>87.55999999999996</v>
      </c>
      <c r="I124" s="3">
        <v>16332.0009999992</v>
      </c>
      <c r="J124" s="3">
        <v>22892.39205305496</v>
      </c>
      <c r="K124" s="3">
        <v>65148.32349435412</v>
      </c>
      <c r="L124" s="3">
        <v>0.5010205069429574</v>
      </c>
      <c r="M124" s="3">
        <v>3630.9436671566</v>
      </c>
      <c r="N124" s="3">
        <v>19261.44838589836</v>
      </c>
      <c r="O124" s="3">
        <v>55161.89890450462</v>
      </c>
      <c r="P124" s="3">
        <v>23.3</v>
      </c>
    </row>
    <row r="125" ht="15.75" customHeight="1">
      <c r="A125" s="3" t="s">
        <v>52</v>
      </c>
      <c r="B125" s="3">
        <v>4.0</v>
      </c>
      <c r="C125" s="3" t="s">
        <v>211</v>
      </c>
      <c r="D125" s="3">
        <v>31351.0</v>
      </c>
      <c r="E125" s="3">
        <v>130031.251399</v>
      </c>
      <c r="F125" s="3">
        <v>0.0</v>
      </c>
      <c r="G125" s="3">
        <v>4670.674064037556</v>
      </c>
      <c r="H125" s="3">
        <v>74.82399999999997</v>
      </c>
      <c r="I125" s="3">
        <v>15529.02169999918</v>
      </c>
      <c r="J125" s="3">
        <v>20274.51976403674</v>
      </c>
      <c r="K125" s="3">
        <v>85422.84325839086</v>
      </c>
      <c r="L125" s="3">
        <v>0.6569408687475556</v>
      </c>
      <c r="M125" s="3">
        <v>4088.9866745537</v>
      </c>
      <c r="N125" s="3">
        <v>16185.53308948304</v>
      </c>
      <c r="O125" s="3">
        <v>71347.43199398766</v>
      </c>
      <c r="P125" s="3">
        <v>23.3</v>
      </c>
    </row>
    <row r="126" ht="15.75" customHeight="1">
      <c r="A126" s="3" t="s">
        <v>52</v>
      </c>
      <c r="B126" s="3">
        <v>5.0</v>
      </c>
      <c r="C126" s="3" t="s">
        <v>212</v>
      </c>
      <c r="D126" s="3">
        <v>31351.0</v>
      </c>
      <c r="E126" s="3">
        <v>130031.251399</v>
      </c>
      <c r="F126" s="3">
        <v>0.0</v>
      </c>
      <c r="G126" s="3">
        <v>3027.530364133133</v>
      </c>
      <c r="H126" s="3">
        <v>52.53599999999998</v>
      </c>
      <c r="I126" s="3">
        <v>6473.660899999689</v>
      </c>
      <c r="J126" s="3">
        <v>9553.727264132822</v>
      </c>
      <c r="K126" s="3">
        <v>94976.57052252367</v>
      </c>
      <c r="L126" s="3">
        <v>0.7304134160109613</v>
      </c>
      <c r="M126" s="3">
        <v>4064.1457888976</v>
      </c>
      <c r="N126" s="3">
        <v>5489.581475235222</v>
      </c>
      <c r="O126" s="3">
        <v>76837.01346922287</v>
      </c>
      <c r="P126" s="3">
        <v>23.3</v>
      </c>
    </row>
    <row r="127" ht="15.75" customHeight="1">
      <c r="A127" s="3" t="s">
        <v>52</v>
      </c>
      <c r="B127" s="3">
        <v>6.0</v>
      </c>
      <c r="C127" s="3" t="s">
        <v>213</v>
      </c>
      <c r="D127" s="3">
        <v>31351.0</v>
      </c>
      <c r="E127" s="3">
        <v>130031.251399</v>
      </c>
      <c r="F127" s="3">
        <v>0.0</v>
      </c>
      <c r="G127" s="3">
        <v>3144.878376897276</v>
      </c>
      <c r="H127" s="3">
        <v>36.61599999999999</v>
      </c>
      <c r="I127" s="3">
        <v>9557.145399999765</v>
      </c>
      <c r="J127" s="3">
        <v>12738.63977689704</v>
      </c>
      <c r="K127" s="3">
        <v>107715.2102994207</v>
      </c>
      <c r="L127" s="3">
        <v>0.8283794021861509</v>
      </c>
      <c r="M127" s="3">
        <v>4585.8599513947</v>
      </c>
      <c r="N127" s="3">
        <v>8152.779825502338</v>
      </c>
      <c r="O127" s="3">
        <v>84989.79329472521</v>
      </c>
      <c r="P127" s="3">
        <v>23.3</v>
      </c>
    </row>
    <row r="128" ht="15.75" customHeight="1">
      <c r="A128" s="3" t="s">
        <v>52</v>
      </c>
      <c r="B128" s="3">
        <v>7.0</v>
      </c>
      <c r="C128" s="3" t="s">
        <v>214</v>
      </c>
      <c r="D128" s="3">
        <v>31351.0</v>
      </c>
      <c r="E128" s="3">
        <v>130031.251399</v>
      </c>
      <c r="F128" s="3">
        <v>0.0</v>
      </c>
      <c r="G128" s="3">
        <v>1615.955217629942</v>
      </c>
      <c r="H128" s="3">
        <v>39.79999999999999</v>
      </c>
      <c r="I128" s="3">
        <v>9669.961999999772</v>
      </c>
      <c r="J128" s="3">
        <v>11325.71721762971</v>
      </c>
      <c r="K128" s="3">
        <v>119040.9275170504</v>
      </c>
      <c r="L128" s="3">
        <v>0.9154793654317313</v>
      </c>
      <c r="M128" s="3">
        <v>3411.898553834199</v>
      </c>
      <c r="N128" s="3">
        <v>7913.818663795514</v>
      </c>
      <c r="O128" s="3">
        <v>92903.61195852072</v>
      </c>
      <c r="P128" s="3">
        <v>23.3</v>
      </c>
    </row>
    <row r="129" ht="15.75" customHeight="1">
      <c r="A129" s="3" t="s">
        <v>52</v>
      </c>
      <c r="B129" s="3">
        <v>8.0</v>
      </c>
      <c r="C129" s="3" t="s">
        <v>215</v>
      </c>
      <c r="D129" s="3">
        <v>31351.0</v>
      </c>
      <c r="E129" s="3">
        <v>130031.251399</v>
      </c>
      <c r="F129" s="3">
        <v>0.0</v>
      </c>
      <c r="G129" s="3">
        <v>1389.313959446943</v>
      </c>
      <c r="H129" s="3">
        <v>22.288</v>
      </c>
      <c r="I129" s="3">
        <v>8926.459999999886</v>
      </c>
      <c r="J129" s="3">
        <v>10338.06195944683</v>
      </c>
      <c r="K129" s="3">
        <v>129378.9894764973</v>
      </c>
      <c r="L129" s="3">
        <v>0.994983806465868</v>
      </c>
      <c r="M129" s="3">
        <v>13471.7445160009</v>
      </c>
      <c r="N129" s="3">
        <v>-3133.682556554069</v>
      </c>
      <c r="O129" s="3">
        <v>89769.92940196666</v>
      </c>
      <c r="P129" s="3">
        <v>23.3</v>
      </c>
    </row>
    <row r="130" ht="15.75" customHeight="1">
      <c r="A130" s="3" t="s">
        <v>52</v>
      </c>
      <c r="B130" s="3">
        <v>9.0</v>
      </c>
      <c r="C130" s="3" t="s">
        <v>216</v>
      </c>
      <c r="D130" s="3">
        <v>31351.0</v>
      </c>
      <c r="E130" s="3">
        <v>130031.251399</v>
      </c>
      <c r="F130" s="3">
        <v>0.0</v>
      </c>
      <c r="G130" s="3">
        <v>818.3138734791696</v>
      </c>
      <c r="H130" s="3">
        <v>27.064</v>
      </c>
      <c r="I130" s="3">
        <v>7792.202799999924</v>
      </c>
      <c r="J130" s="3">
        <v>8637.580673479095</v>
      </c>
      <c r="K130" s="3">
        <v>138016.5701499764</v>
      </c>
      <c r="L130" s="3">
        <v>1.061410765989427</v>
      </c>
      <c r="M130" s="3">
        <v>5863.757873791799</v>
      </c>
      <c r="N130" s="3">
        <v>2773.822799687296</v>
      </c>
      <c r="O130" s="3">
        <v>92543.75220165396</v>
      </c>
      <c r="P130" s="3">
        <v>23.3</v>
      </c>
    </row>
    <row r="131" ht="15.75" customHeight="1">
      <c r="A131" s="3" t="s">
        <v>52</v>
      </c>
      <c r="B131" s="3">
        <v>10.0</v>
      </c>
      <c r="C131" s="3" t="s">
        <v>217</v>
      </c>
      <c r="D131" s="3">
        <v>31351.0</v>
      </c>
      <c r="E131" s="3">
        <v>130031.251399</v>
      </c>
      <c r="F131" s="3">
        <v>0.0</v>
      </c>
      <c r="G131" s="3">
        <v>762.5073031089815</v>
      </c>
      <c r="H131" s="3">
        <v>25.472</v>
      </c>
      <c r="I131" s="3">
        <v>7725.464499999925</v>
      </c>
      <c r="J131" s="3">
        <v>8513.443803108907</v>
      </c>
      <c r="K131" s="3">
        <v>146530.0139530853</v>
      </c>
      <c r="L131" s="3">
        <v>1.126883056008274</v>
      </c>
      <c r="M131" s="3">
        <v>10244.9771895315</v>
      </c>
      <c r="N131" s="3">
        <v>-1731.533386422592</v>
      </c>
      <c r="O131" s="3">
        <v>90812.21881523136</v>
      </c>
      <c r="P131" s="3">
        <v>23.3</v>
      </c>
    </row>
    <row r="132" ht="15.75" customHeight="1">
      <c r="A132" s="3" t="s">
        <v>52</v>
      </c>
      <c r="B132" s="3">
        <v>11.0</v>
      </c>
      <c r="C132" s="3" t="s">
        <v>218</v>
      </c>
      <c r="D132" s="3">
        <v>31351.0</v>
      </c>
      <c r="E132" s="3">
        <v>130031.251399</v>
      </c>
      <c r="F132" s="3">
        <v>0.0</v>
      </c>
      <c r="G132" s="3">
        <v>720.1745683455376</v>
      </c>
      <c r="H132" s="3">
        <v>33.432</v>
      </c>
      <c r="I132" s="3">
        <v>6862.659299999981</v>
      </c>
      <c r="J132" s="3">
        <v>7616.265868345519</v>
      </c>
      <c r="K132" s="3">
        <v>154146.2798214308</v>
      </c>
      <c r="L132" s="3">
        <v>1.185455635956575</v>
      </c>
      <c r="M132" s="3">
        <v>4680.1455913726</v>
      </c>
      <c r="N132" s="3">
        <v>2936.120276972919</v>
      </c>
      <c r="O132" s="3">
        <v>93748.33909220427</v>
      </c>
      <c r="P132" s="3">
        <v>23.3</v>
      </c>
    </row>
    <row r="133" ht="15.75" customHeight="1">
      <c r="A133" s="3" t="s">
        <v>52</v>
      </c>
      <c r="B133" s="3">
        <v>12.0</v>
      </c>
      <c r="C133" s="3" t="s">
        <v>219</v>
      </c>
      <c r="D133" s="3">
        <v>31351.0</v>
      </c>
      <c r="E133" s="3">
        <v>130031.251399</v>
      </c>
      <c r="F133" s="3">
        <v>0.0</v>
      </c>
      <c r="G133" s="3">
        <v>499.9658983120095</v>
      </c>
      <c r="H133" s="3">
        <v>27.064</v>
      </c>
      <c r="I133" s="3">
        <v>6073.935700000003</v>
      </c>
      <c r="J133" s="3">
        <v>6600.965598312012</v>
      </c>
      <c r="K133" s="3">
        <v>160747.2454197428</v>
      </c>
      <c r="L133" s="3">
        <v>1.236220090864857</v>
      </c>
      <c r="M133" s="3">
        <v>5025.9338061136</v>
      </c>
      <c r="N133" s="3">
        <v>1575.031792198412</v>
      </c>
      <c r="O133" s="3">
        <v>95323.37088440268</v>
      </c>
      <c r="P133" s="3">
        <v>23.3</v>
      </c>
    </row>
    <row r="134" ht="15.75" customHeight="1">
      <c r="A134" s="3" t="s">
        <v>52</v>
      </c>
      <c r="B134" s="3">
        <v>13.0</v>
      </c>
      <c r="C134" s="3" t="s">
        <v>220</v>
      </c>
      <c r="D134" s="3">
        <v>31351.0</v>
      </c>
      <c r="E134" s="3">
        <v>130031.251399</v>
      </c>
      <c r="F134" s="3">
        <v>0.0</v>
      </c>
      <c r="G134" s="3">
        <v>521.5194602830677</v>
      </c>
      <c r="H134" s="3">
        <v>27.064</v>
      </c>
      <c r="I134" s="3">
        <v>13319.09189999994</v>
      </c>
      <c r="J134" s="3">
        <v>13867.675360283</v>
      </c>
      <c r="K134" s="3">
        <v>174614.9207800258</v>
      </c>
      <c r="L134" s="3">
        <v>1.342868878837604</v>
      </c>
      <c r="M134" s="3">
        <v>3954.9712119872</v>
      </c>
      <c r="N134" s="3">
        <v>9912.704148295805</v>
      </c>
      <c r="O134" s="3">
        <v>105236.0750326985</v>
      </c>
      <c r="P134" s="3">
        <v>23.3</v>
      </c>
    </row>
    <row r="135" ht="15.75" customHeight="1">
      <c r="A135" s="3" t="s">
        <v>52</v>
      </c>
      <c r="B135" s="3">
        <v>14.0</v>
      </c>
      <c r="C135" s="3" t="s">
        <v>221</v>
      </c>
      <c r="D135" s="3">
        <v>31351.0</v>
      </c>
      <c r="E135" s="3">
        <v>130031.251399</v>
      </c>
      <c r="F135" s="3">
        <v>0.0</v>
      </c>
      <c r="G135" s="3">
        <v>571.5912565558763</v>
      </c>
      <c r="H135" s="3">
        <v>15.92</v>
      </c>
      <c r="I135" s="3">
        <v>4660.304300000002</v>
      </c>
      <c r="J135" s="3">
        <v>5247.815556555878</v>
      </c>
      <c r="K135" s="3">
        <v>179862.7363365816</v>
      </c>
      <c r="L135" s="3">
        <v>1.383226988908029</v>
      </c>
      <c r="M135" s="3">
        <v>3909.350563205201</v>
      </c>
      <c r="N135" s="3">
        <v>1338.464993350678</v>
      </c>
      <c r="O135" s="3">
        <v>106574.5400260492</v>
      </c>
      <c r="P135" s="3">
        <v>23.3</v>
      </c>
    </row>
    <row r="136" ht="15.75" customHeight="1">
      <c r="A136" s="3" t="s">
        <v>52</v>
      </c>
      <c r="B136" s="3">
        <v>15.0</v>
      </c>
      <c r="C136" s="3" t="s">
        <v>222</v>
      </c>
      <c r="D136" s="3">
        <v>31351.0</v>
      </c>
      <c r="E136" s="3">
        <v>130031.251399</v>
      </c>
      <c r="F136" s="3">
        <v>0.0</v>
      </c>
      <c r="G136" s="3">
        <v>454.9903485521159</v>
      </c>
      <c r="H136" s="3">
        <v>23.88</v>
      </c>
      <c r="I136" s="3">
        <v>4232.508000000003</v>
      </c>
      <c r="J136" s="3">
        <v>4711.378348552119</v>
      </c>
      <c r="K136" s="3">
        <v>184574.1146851338</v>
      </c>
      <c r="L136" s="3">
        <v>1.41945965065559</v>
      </c>
      <c r="M136" s="3">
        <v>3694.0138764238</v>
      </c>
      <c r="N136" s="3">
        <v>1017.364472128319</v>
      </c>
      <c r="O136" s="3">
        <v>107591.9044981775</v>
      </c>
      <c r="P136" s="3">
        <v>23.3</v>
      </c>
    </row>
    <row r="137" ht="15.75" customHeight="1">
      <c r="A137" s="3" t="s">
        <v>52</v>
      </c>
      <c r="B137" s="3">
        <v>16.0</v>
      </c>
      <c r="C137" s="3" t="s">
        <v>223</v>
      </c>
      <c r="D137" s="3">
        <v>31351.0</v>
      </c>
      <c r="E137" s="3">
        <v>130031.251399</v>
      </c>
      <c r="F137" s="3">
        <v>0.0</v>
      </c>
      <c r="G137" s="3">
        <v>323.6771889073678</v>
      </c>
      <c r="H137" s="3">
        <v>17.512</v>
      </c>
      <c r="I137" s="3">
        <v>2772.771400000002</v>
      </c>
      <c r="J137" s="3">
        <v>3113.96058890737</v>
      </c>
      <c r="K137" s="3">
        <v>187688.0752740412</v>
      </c>
      <c r="L137" s="3">
        <v>1.44340743671013</v>
      </c>
      <c r="M137" s="3">
        <v>724.9883676191</v>
      </c>
      <c r="N137" s="3">
        <v>2388.97222128827</v>
      </c>
      <c r="O137" s="3">
        <v>109980.8767194657</v>
      </c>
      <c r="P137" s="3">
        <v>23.3</v>
      </c>
    </row>
    <row r="138" ht="15.75" customHeight="1">
      <c r="A138" s="3" t="s">
        <v>52</v>
      </c>
      <c r="B138" s="3">
        <v>17.0</v>
      </c>
      <c r="C138" s="3" t="s">
        <v>224</v>
      </c>
      <c r="D138" s="3">
        <v>31351.0</v>
      </c>
      <c r="E138" s="3">
        <v>130031.251399</v>
      </c>
      <c r="F138" s="3">
        <v>0.0</v>
      </c>
      <c r="G138" s="3">
        <v>442.1909010087979</v>
      </c>
      <c r="H138" s="3">
        <v>22.288</v>
      </c>
      <c r="I138" s="3">
        <v>5326.872399999941</v>
      </c>
      <c r="J138" s="3">
        <v>5791.351301008739</v>
      </c>
      <c r="K138" s="3">
        <v>193479.4265750499</v>
      </c>
      <c r="L138" s="3">
        <v>1.487945586106524</v>
      </c>
      <c r="M138" s="3">
        <v>2460.6792769171</v>
      </c>
      <c r="N138" s="3">
        <v>3330.67202409164</v>
      </c>
      <c r="O138" s="3">
        <v>113311.5487435574</v>
      </c>
      <c r="P138" s="3">
        <v>23.3</v>
      </c>
    </row>
    <row r="139" ht="15.75" customHeight="1">
      <c r="A139" s="3" t="s">
        <v>52</v>
      </c>
      <c r="B139" s="3">
        <v>18.0</v>
      </c>
      <c r="C139" s="3" t="s">
        <v>225</v>
      </c>
      <c r="D139" s="3">
        <v>31351.0</v>
      </c>
      <c r="E139" s="3">
        <v>130031.251399</v>
      </c>
      <c r="F139" s="3">
        <v>0.0</v>
      </c>
      <c r="G139" s="3">
        <v>403.9767027889624</v>
      </c>
      <c r="H139" s="3">
        <v>11.144</v>
      </c>
      <c r="I139" s="3">
        <v>3166.935200000002</v>
      </c>
      <c r="J139" s="3">
        <v>3582.055902788964</v>
      </c>
      <c r="K139" s="3">
        <v>197061.4824778388</v>
      </c>
      <c r="L139" s="3">
        <v>1.515493239953194</v>
      </c>
      <c r="M139" s="3">
        <v>1292.0259619782</v>
      </c>
      <c r="N139" s="3">
        <v>2290.029940810764</v>
      </c>
      <c r="O139" s="3">
        <v>115601.5786843681</v>
      </c>
      <c r="P139" s="3">
        <v>23.3</v>
      </c>
    </row>
    <row r="140" ht="15.75" customHeight="1">
      <c r="A140" s="3" t="s">
        <v>52</v>
      </c>
      <c r="B140" s="3">
        <v>19.0</v>
      </c>
      <c r="C140" s="3" t="s">
        <v>226</v>
      </c>
      <c r="D140" s="3">
        <v>31351.0</v>
      </c>
      <c r="E140" s="3">
        <v>130031.251399</v>
      </c>
      <c r="F140" s="3">
        <v>0.0</v>
      </c>
      <c r="G140" s="3">
        <v>404.8796773155909</v>
      </c>
      <c r="H140" s="3">
        <v>7.960000000000001</v>
      </c>
      <c r="I140" s="3">
        <v>3794.235500000002</v>
      </c>
      <c r="J140" s="3">
        <v>4207.075177315593</v>
      </c>
      <c r="K140" s="3">
        <v>201268.5576551544</v>
      </c>
      <c r="L140" s="3">
        <v>1.547847578868277</v>
      </c>
      <c r="M140" s="3">
        <v>591.719531773</v>
      </c>
      <c r="N140" s="3">
        <v>3615.355645542592</v>
      </c>
      <c r="O140" s="3">
        <v>119216.9343299107</v>
      </c>
      <c r="P140" s="3">
        <v>23.3</v>
      </c>
    </row>
    <row r="141" ht="15.75" customHeight="1">
      <c r="A141" s="3" t="s">
        <v>52</v>
      </c>
      <c r="B141" s="3">
        <v>20.0</v>
      </c>
      <c r="C141" s="3" t="s">
        <v>227</v>
      </c>
      <c r="D141" s="3">
        <v>31351.0</v>
      </c>
      <c r="E141" s="3">
        <v>130031.251399</v>
      </c>
      <c r="F141" s="3">
        <v>0.0</v>
      </c>
      <c r="G141" s="3">
        <v>140.7875876486293</v>
      </c>
      <c r="H141" s="3">
        <v>15.92</v>
      </c>
      <c r="I141" s="3">
        <v>2517.849100000001</v>
      </c>
      <c r="J141" s="3">
        <v>2674.55668764863</v>
      </c>
      <c r="K141" s="3">
        <v>203943.1143428031</v>
      </c>
      <c r="L141" s="3">
        <v>1.568416147261438</v>
      </c>
      <c r="M141" s="3">
        <v>1076.7248043345</v>
      </c>
      <c r="N141" s="3">
        <v>1597.83188331413</v>
      </c>
      <c r="O141" s="3">
        <v>120814.7662132248</v>
      </c>
      <c r="P141" s="3">
        <v>23.3</v>
      </c>
    </row>
    <row r="142" ht="15.75" customHeight="1">
      <c r="A142" s="3" t="s">
        <v>52</v>
      </c>
      <c r="B142" s="3">
        <v>21.0</v>
      </c>
      <c r="C142" s="3" t="s">
        <v>228</v>
      </c>
      <c r="D142" s="3">
        <v>31351.0</v>
      </c>
      <c r="E142" s="3">
        <v>130031.251399</v>
      </c>
      <c r="F142" s="3">
        <v>0.0</v>
      </c>
      <c r="G142" s="3">
        <v>255.2021341263896</v>
      </c>
      <c r="H142" s="3">
        <v>7.960000000000001</v>
      </c>
      <c r="I142" s="3">
        <v>5233.2692</v>
      </c>
      <c r="J142" s="3">
        <v>5496.43133412639</v>
      </c>
      <c r="K142" s="3">
        <v>209439.5456769295</v>
      </c>
      <c r="L142" s="3">
        <v>1.610686226761486</v>
      </c>
      <c r="M142" s="3">
        <v>1303.5480059177</v>
      </c>
      <c r="N142" s="3">
        <v>4192.88332820869</v>
      </c>
      <c r="O142" s="3">
        <v>125007.6495414335</v>
      </c>
      <c r="P142" s="3">
        <v>23.3</v>
      </c>
    </row>
    <row r="143" ht="15.75" customHeight="1">
      <c r="A143" s="3" t="s">
        <v>52</v>
      </c>
      <c r="B143" s="3">
        <v>22.0</v>
      </c>
      <c r="C143" s="3" t="s">
        <v>229</v>
      </c>
      <c r="D143" s="3">
        <v>31351.0</v>
      </c>
      <c r="E143" s="3">
        <v>130031.251399</v>
      </c>
      <c r="F143" s="3">
        <v>0.0</v>
      </c>
      <c r="G143" s="3">
        <v>248.3535592386013</v>
      </c>
      <c r="H143" s="3">
        <v>9.552</v>
      </c>
      <c r="I143" s="3">
        <v>3135.476900000001</v>
      </c>
      <c r="J143" s="3">
        <v>3393.382459238603</v>
      </c>
      <c r="K143" s="3">
        <v>212832.9281361681</v>
      </c>
      <c r="L143" s="3">
        <v>1.636782895237174</v>
      </c>
      <c r="M143" s="3">
        <v>1483.7040977753</v>
      </c>
      <c r="N143" s="3">
        <v>1909.678361463303</v>
      </c>
      <c r="O143" s="3">
        <v>126917.3279028968</v>
      </c>
      <c r="P143" s="3">
        <v>23.3</v>
      </c>
    </row>
    <row r="144" ht="15.75" customHeight="1">
      <c r="A144" s="3" t="s">
        <v>52</v>
      </c>
      <c r="B144" s="3">
        <v>23.0</v>
      </c>
      <c r="C144" s="3" t="s">
        <v>230</v>
      </c>
      <c r="D144" s="3">
        <v>31351.0</v>
      </c>
      <c r="E144" s="3">
        <v>130031.251399</v>
      </c>
      <c r="F144" s="3">
        <v>0.0</v>
      </c>
      <c r="G144" s="3">
        <v>561.0280471888623</v>
      </c>
      <c r="H144" s="3">
        <v>3.184</v>
      </c>
      <c r="I144" s="3">
        <v>3379.854300000002</v>
      </c>
      <c r="J144" s="3">
        <v>3944.066347188864</v>
      </c>
      <c r="K144" s="3">
        <v>216776.9944833569</v>
      </c>
      <c r="L144" s="3">
        <v>1.667114575542907</v>
      </c>
      <c r="M144" s="3">
        <v>1902.8365793074</v>
      </c>
      <c r="N144" s="3">
        <v>2041.229767881464</v>
      </c>
      <c r="O144" s="3">
        <v>128958.5576707783</v>
      </c>
      <c r="P144" s="3">
        <v>23.3</v>
      </c>
    </row>
    <row r="145" ht="15.75" customHeight="1">
      <c r="A145" s="3" t="s">
        <v>52</v>
      </c>
      <c r="B145" s="3">
        <v>24.0</v>
      </c>
      <c r="C145" s="3" t="s">
        <v>231</v>
      </c>
      <c r="D145" s="3">
        <v>31351.0</v>
      </c>
      <c r="E145" s="3">
        <v>130031.251399</v>
      </c>
      <c r="F145" s="3">
        <v>0.0</v>
      </c>
      <c r="G145" s="3">
        <v>345.6946647537125</v>
      </c>
      <c r="H145" s="3">
        <v>12.736</v>
      </c>
      <c r="I145" s="3">
        <v>4985.630699999993</v>
      </c>
      <c r="J145" s="3">
        <v>5344.061364753706</v>
      </c>
      <c r="K145" s="3">
        <v>222121.0558481106</v>
      </c>
      <c r="L145" s="3">
        <v>1.708212860049572</v>
      </c>
      <c r="M145" s="3">
        <v>1826.85694431</v>
      </c>
      <c r="N145" s="3">
        <v>3517.204420443706</v>
      </c>
      <c r="O145" s="3">
        <v>132475.762091222</v>
      </c>
      <c r="P145" s="3">
        <v>23.3</v>
      </c>
    </row>
    <row r="146" ht="15.75" customHeight="1">
      <c r="A146" s="3" t="s">
        <v>52</v>
      </c>
      <c r="B146" s="3">
        <v>25.0</v>
      </c>
      <c r="C146" s="3" t="s">
        <v>232</v>
      </c>
      <c r="D146" s="3">
        <v>31351.0</v>
      </c>
      <c r="E146" s="3">
        <v>130031.251399</v>
      </c>
      <c r="F146" s="3">
        <v>0.0</v>
      </c>
      <c r="G146" s="3">
        <v>223.8217235331305</v>
      </c>
      <c r="H146" s="3">
        <v>3.184</v>
      </c>
      <c r="I146" s="3">
        <v>3890.477300000001</v>
      </c>
      <c r="J146" s="3">
        <v>4117.483023533131</v>
      </c>
      <c r="K146" s="3">
        <v>226238.5388716438</v>
      </c>
      <c r="L146" s="3">
        <v>1.739878194184507</v>
      </c>
      <c r="M146" s="3">
        <v>2643.9700143476</v>
      </c>
      <c r="N146" s="3">
        <v>1473.513009185531</v>
      </c>
      <c r="O146" s="3">
        <v>133949.2751004075</v>
      </c>
      <c r="P146" s="3">
        <v>23.3</v>
      </c>
    </row>
    <row r="147" ht="15.75" customHeight="1">
      <c r="A147" s="3" t="s">
        <v>52</v>
      </c>
      <c r="B147" s="3">
        <v>26.0</v>
      </c>
      <c r="C147" s="3" t="s">
        <v>233</v>
      </c>
      <c r="D147" s="3">
        <v>31351.0</v>
      </c>
      <c r="E147" s="3">
        <v>130031.251399</v>
      </c>
      <c r="F147" s="3">
        <v>0.0</v>
      </c>
      <c r="G147" s="3">
        <v>323.2041102322295</v>
      </c>
      <c r="H147" s="3">
        <v>1.592</v>
      </c>
      <c r="I147" s="3">
        <v>4094.5272</v>
      </c>
      <c r="J147" s="3">
        <v>4419.323310232229</v>
      </c>
      <c r="K147" s="3">
        <v>230657.862181876</v>
      </c>
      <c r="L147" s="3">
        <v>1.773864818651202</v>
      </c>
      <c r="M147" s="3">
        <v>328.8876858399</v>
      </c>
      <c r="N147" s="3">
        <v>4090.435624392329</v>
      </c>
      <c r="O147" s="3">
        <v>138039.7107247999</v>
      </c>
      <c r="P147" s="3">
        <v>23.3</v>
      </c>
    </row>
    <row r="148" ht="15.75" customHeight="1">
      <c r="A148" s="3" t="s">
        <v>52</v>
      </c>
      <c r="B148" s="3">
        <v>27.0</v>
      </c>
      <c r="C148" s="3" t="s">
        <v>234</v>
      </c>
      <c r="D148" s="3">
        <v>31351.0</v>
      </c>
      <c r="E148" s="3">
        <v>130031.251399</v>
      </c>
      <c r="F148" s="3">
        <v>0.0</v>
      </c>
      <c r="G148" s="3">
        <v>478.1444256423241</v>
      </c>
      <c r="H148" s="3">
        <v>4.776</v>
      </c>
      <c r="I148" s="3">
        <v>2168.9301</v>
      </c>
      <c r="J148" s="3">
        <v>2651.850525642325</v>
      </c>
      <c r="K148" s="3">
        <v>233309.7127075184</v>
      </c>
      <c r="L148" s="3">
        <v>1.794258766237734</v>
      </c>
      <c r="M148" s="3">
        <v>556.4440585985001</v>
      </c>
      <c r="N148" s="3">
        <v>2095.406467043825</v>
      </c>
      <c r="O148" s="3">
        <v>140135.1171918437</v>
      </c>
      <c r="P148" s="3">
        <v>23.3</v>
      </c>
    </row>
    <row r="149" ht="15.75" customHeight="1">
      <c r="A149" s="3" t="s">
        <v>52</v>
      </c>
      <c r="B149" s="3">
        <v>28.0</v>
      </c>
      <c r="C149" s="3" t="s">
        <v>235</v>
      </c>
      <c r="D149" s="3">
        <v>31351.0</v>
      </c>
      <c r="E149" s="3">
        <v>130031.251399</v>
      </c>
      <c r="F149" s="3">
        <v>0.0</v>
      </c>
      <c r="G149" s="3">
        <v>547.9592734974404</v>
      </c>
      <c r="H149" s="3">
        <v>7.960000000000001</v>
      </c>
      <c r="I149" s="3">
        <v>2341.6645</v>
      </c>
      <c r="J149" s="3">
        <v>2897.583773497441</v>
      </c>
      <c r="K149" s="3">
        <v>236207.2964810158</v>
      </c>
      <c r="L149" s="3">
        <v>1.816542515277465</v>
      </c>
      <c r="M149" s="3">
        <v>1318.0148430563</v>
      </c>
      <c r="N149" s="3">
        <v>1579.56893044114</v>
      </c>
      <c r="O149" s="3">
        <v>141714.6861222848</v>
      </c>
      <c r="P149" s="3">
        <v>23.3</v>
      </c>
    </row>
    <row r="150" ht="15.75" customHeight="1">
      <c r="A150" s="3" t="s">
        <v>52</v>
      </c>
      <c r="B150" s="3">
        <v>29.0</v>
      </c>
      <c r="C150" s="3" t="s">
        <v>236</v>
      </c>
      <c r="D150" s="3">
        <v>31351.0</v>
      </c>
      <c r="E150" s="3">
        <v>130031.251399</v>
      </c>
      <c r="F150" s="3">
        <v>0.0</v>
      </c>
      <c r="G150" s="3">
        <v>401.7233640778397</v>
      </c>
      <c r="H150" s="3">
        <v>11.144</v>
      </c>
      <c r="I150" s="3">
        <v>1266.0401</v>
      </c>
      <c r="J150" s="3">
        <v>1678.90746407784</v>
      </c>
      <c r="K150" s="3">
        <v>237886.2039450936</v>
      </c>
      <c r="L150" s="3">
        <v>1.829454084196587</v>
      </c>
      <c r="M150" s="3">
        <v>1448.3635865152</v>
      </c>
      <c r="N150" s="3">
        <v>230.5438775626398</v>
      </c>
      <c r="O150" s="3">
        <v>141945.2299998475</v>
      </c>
      <c r="P150" s="3">
        <v>23.3</v>
      </c>
    </row>
    <row r="151" ht="15.75" customHeight="1">
      <c r="A151" s="3" t="s">
        <v>53</v>
      </c>
      <c r="B151" s="3">
        <v>0.0</v>
      </c>
      <c r="C151" s="3" t="s">
        <v>53</v>
      </c>
      <c r="D151" s="3">
        <v>29508.0</v>
      </c>
      <c r="E151" s="3">
        <v>151857.016728</v>
      </c>
      <c r="F151" s="3">
        <v>0.0</v>
      </c>
      <c r="G151" s="3">
        <v>571.2699062737988</v>
      </c>
      <c r="H151" s="3">
        <v>6.368</v>
      </c>
      <c r="I151" s="3">
        <v>4290.387499999935</v>
      </c>
      <c r="J151" s="3">
        <v>4868.025406273734</v>
      </c>
      <c r="K151" s="3">
        <v>4868.025406273734</v>
      </c>
      <c r="L151" s="3">
        <v>0.0320566379556444</v>
      </c>
      <c r="M151" s="3">
        <v>325.8288851988</v>
      </c>
      <c r="N151" s="3">
        <v>4542.196521074934</v>
      </c>
      <c r="O151" s="3">
        <v>4542.196521074934</v>
      </c>
      <c r="P151" s="3">
        <v>14.1</v>
      </c>
    </row>
    <row r="152" ht="15.75" customHeight="1">
      <c r="A152" s="3" t="s">
        <v>53</v>
      </c>
      <c r="B152" s="3">
        <v>1.0</v>
      </c>
      <c r="C152" s="3" t="s">
        <v>308</v>
      </c>
      <c r="D152" s="3">
        <v>29508.0</v>
      </c>
      <c r="E152" s="3">
        <v>151857.016728</v>
      </c>
      <c r="F152" s="3">
        <v>0.0</v>
      </c>
      <c r="G152" s="3">
        <v>2663.602575049516</v>
      </c>
      <c r="H152" s="3">
        <v>27.064</v>
      </c>
      <c r="I152" s="3">
        <v>16827.62289999933</v>
      </c>
      <c r="J152" s="3">
        <v>19518.28947504884</v>
      </c>
      <c r="K152" s="3">
        <v>24386.31488132257</v>
      </c>
      <c r="L152" s="3">
        <v>0.1605873433231099</v>
      </c>
      <c r="M152" s="3">
        <v>2731.2617318308</v>
      </c>
      <c r="N152" s="3">
        <v>16787.02774321804</v>
      </c>
      <c r="O152" s="3">
        <v>21329.22426429297</v>
      </c>
      <c r="P152" s="3">
        <v>14.1</v>
      </c>
    </row>
    <row r="153" ht="15.75" customHeight="1">
      <c r="A153" s="3" t="s">
        <v>53</v>
      </c>
      <c r="B153" s="3">
        <v>2.0</v>
      </c>
      <c r="C153" s="3" t="s">
        <v>309</v>
      </c>
      <c r="D153" s="3">
        <v>29508.0</v>
      </c>
      <c r="E153" s="3">
        <v>151857.016728</v>
      </c>
      <c r="F153" s="3">
        <v>0.0</v>
      </c>
      <c r="G153" s="3">
        <v>5115.305822480753</v>
      </c>
      <c r="H153" s="3">
        <v>31.84</v>
      </c>
      <c r="I153" s="3">
        <v>16950.60409999926</v>
      </c>
      <c r="J153" s="3">
        <v>22097.74992248001</v>
      </c>
      <c r="K153" s="3">
        <v>46484.06480380258</v>
      </c>
      <c r="L153" s="3">
        <v>0.3061041617001006</v>
      </c>
      <c r="M153" s="3">
        <v>5039.6033302013</v>
      </c>
      <c r="N153" s="3">
        <v>17058.14659227871</v>
      </c>
      <c r="O153" s="3">
        <v>38387.37085657168</v>
      </c>
      <c r="P153" s="3">
        <v>14.1</v>
      </c>
    </row>
    <row r="154" ht="15.75" customHeight="1">
      <c r="A154" s="3" t="s">
        <v>53</v>
      </c>
      <c r="B154" s="3">
        <v>3.0</v>
      </c>
      <c r="C154" s="3" t="s">
        <v>310</v>
      </c>
      <c r="D154" s="3">
        <v>29508.0</v>
      </c>
      <c r="E154" s="3">
        <v>151857.016728</v>
      </c>
      <c r="F154" s="3">
        <v>0.0</v>
      </c>
      <c r="G154" s="3">
        <v>4399.859687732425</v>
      </c>
      <c r="H154" s="3">
        <v>38.20799999999999</v>
      </c>
      <c r="I154" s="3">
        <v>20258.41529999925</v>
      </c>
      <c r="J154" s="3">
        <v>24696.48298773168</v>
      </c>
      <c r="K154" s="3">
        <v>71180.54779153426</v>
      </c>
      <c r="L154" s="3">
        <v>0.4687340060092838</v>
      </c>
      <c r="M154" s="3">
        <v>5617.5706051176</v>
      </c>
      <c r="N154" s="3">
        <v>19078.91238261408</v>
      </c>
      <c r="O154" s="3">
        <v>57466.28323918576</v>
      </c>
      <c r="P154" s="3">
        <v>14.1</v>
      </c>
    </row>
    <row r="155" ht="15.75" customHeight="1">
      <c r="A155" s="3" t="s">
        <v>53</v>
      </c>
      <c r="B155" s="3">
        <v>4.0</v>
      </c>
      <c r="C155" s="3" t="s">
        <v>311</v>
      </c>
      <c r="D155" s="3">
        <v>29508.0</v>
      </c>
      <c r="E155" s="3">
        <v>151857.016728</v>
      </c>
      <c r="F155" s="3">
        <v>0.0</v>
      </c>
      <c r="G155" s="3">
        <v>4954.91987058504</v>
      </c>
      <c r="H155" s="3">
        <v>66.86399999999998</v>
      </c>
      <c r="I155" s="3">
        <v>24867.73419999976</v>
      </c>
      <c r="J155" s="3">
        <v>29889.5180705848</v>
      </c>
      <c r="K155" s="3">
        <v>101070.0658621191</v>
      </c>
      <c r="L155" s="3">
        <v>0.6655607231054169</v>
      </c>
      <c r="M155" s="3">
        <v>6884.587697248</v>
      </c>
      <c r="N155" s="3">
        <v>23004.9303733368</v>
      </c>
      <c r="O155" s="3">
        <v>80471.21361252257</v>
      </c>
      <c r="P155" s="3">
        <v>14.1</v>
      </c>
    </row>
    <row r="156" ht="15.75" customHeight="1">
      <c r="A156" s="3" t="s">
        <v>53</v>
      </c>
      <c r="B156" s="3">
        <v>5.0</v>
      </c>
      <c r="C156" s="3" t="s">
        <v>312</v>
      </c>
      <c r="D156" s="3">
        <v>29508.0</v>
      </c>
      <c r="E156" s="3">
        <v>151857.016728</v>
      </c>
      <c r="F156" s="3">
        <v>0.0</v>
      </c>
      <c r="G156" s="3">
        <v>2358.669722054369</v>
      </c>
      <c r="H156" s="3">
        <v>41.39199999999999</v>
      </c>
      <c r="I156" s="3">
        <v>13204.38069999968</v>
      </c>
      <c r="J156" s="3">
        <v>15604.44242205405</v>
      </c>
      <c r="K156" s="3">
        <v>116674.5082841731</v>
      </c>
      <c r="L156" s="3">
        <v>0.7683181903484623</v>
      </c>
      <c r="M156" s="3">
        <v>8655.6371458927</v>
      </c>
      <c r="N156" s="3">
        <v>6948.805276161353</v>
      </c>
      <c r="O156" s="3">
        <v>87420.01888868392</v>
      </c>
      <c r="P156" s="3">
        <v>14.1</v>
      </c>
    </row>
    <row r="157" ht="15.75" customHeight="1">
      <c r="A157" s="3" t="s">
        <v>53</v>
      </c>
      <c r="B157" s="3">
        <v>6.0</v>
      </c>
      <c r="C157" s="3" t="s">
        <v>313</v>
      </c>
      <c r="D157" s="3">
        <v>29508.0</v>
      </c>
      <c r="E157" s="3">
        <v>151857.016728</v>
      </c>
      <c r="F157" s="3">
        <v>0.0</v>
      </c>
      <c r="G157" s="3">
        <v>1803.660994418809</v>
      </c>
      <c r="H157" s="3">
        <v>28.656</v>
      </c>
      <c r="I157" s="3">
        <v>15661.34609999984</v>
      </c>
      <c r="J157" s="3">
        <v>17493.66309441865</v>
      </c>
      <c r="K157" s="3">
        <v>134168.1713785918</v>
      </c>
      <c r="L157" s="3">
        <v>0.8835164437538521</v>
      </c>
      <c r="M157" s="3">
        <v>11446.2043860996</v>
      </c>
      <c r="N157" s="3">
        <v>6047.458708319047</v>
      </c>
      <c r="O157" s="3">
        <v>93467.47759700296</v>
      </c>
      <c r="P157" s="3">
        <v>14.1</v>
      </c>
    </row>
    <row r="158" ht="15.75" customHeight="1">
      <c r="A158" s="3" t="s">
        <v>53</v>
      </c>
      <c r="B158" s="3">
        <v>7.0</v>
      </c>
      <c r="C158" s="3" t="s">
        <v>314</v>
      </c>
      <c r="D158" s="3">
        <v>29508.0</v>
      </c>
      <c r="E158" s="3">
        <v>151857.016728</v>
      </c>
      <c r="F158" s="3">
        <v>0.0</v>
      </c>
      <c r="G158" s="3">
        <v>1212.303493757768</v>
      </c>
      <c r="H158" s="3">
        <v>28.656</v>
      </c>
      <c r="I158" s="3">
        <v>10947.58599999984</v>
      </c>
      <c r="J158" s="3">
        <v>12188.54549375761</v>
      </c>
      <c r="K158" s="3">
        <v>146356.7168723494</v>
      </c>
      <c r="L158" s="3">
        <v>0.9637797450907224</v>
      </c>
      <c r="M158" s="3">
        <v>6374.923473721101</v>
      </c>
      <c r="N158" s="3">
        <v>5813.622020036512</v>
      </c>
      <c r="O158" s="3">
        <v>99281.09961703946</v>
      </c>
      <c r="P158" s="3">
        <v>14.1</v>
      </c>
    </row>
    <row r="159" ht="15.75" customHeight="1">
      <c r="A159" s="3" t="s">
        <v>53</v>
      </c>
      <c r="B159" s="3">
        <v>8.0</v>
      </c>
      <c r="C159" s="3" t="s">
        <v>315</v>
      </c>
      <c r="D159" s="3">
        <v>29508.0</v>
      </c>
      <c r="E159" s="3">
        <v>151857.016728</v>
      </c>
      <c r="F159" s="3">
        <v>0.0</v>
      </c>
      <c r="G159" s="3">
        <v>1275.524109954071</v>
      </c>
      <c r="H159" s="3">
        <v>28.656</v>
      </c>
      <c r="I159" s="3">
        <v>11349.50119999987</v>
      </c>
      <c r="J159" s="3">
        <v>12653.68130995394</v>
      </c>
      <c r="K159" s="3">
        <v>159010.3981823033</v>
      </c>
      <c r="L159" s="3">
        <v>1.047106031768793</v>
      </c>
      <c r="M159" s="3">
        <v>3408.1537698339</v>
      </c>
      <c r="N159" s="3">
        <v>9245.52754012004</v>
      </c>
      <c r="O159" s="3">
        <v>108526.6271571595</v>
      </c>
      <c r="P159" s="3">
        <v>14.1</v>
      </c>
    </row>
    <row r="160" ht="15.75" customHeight="1">
      <c r="A160" s="3" t="s">
        <v>53</v>
      </c>
      <c r="B160" s="3">
        <v>9.0</v>
      </c>
      <c r="C160" s="3" t="s">
        <v>316</v>
      </c>
      <c r="D160" s="3">
        <v>29508.0</v>
      </c>
      <c r="E160" s="3">
        <v>151857.016728</v>
      </c>
      <c r="F160" s="3">
        <v>0.0</v>
      </c>
      <c r="G160" s="3">
        <v>1081.041301311108</v>
      </c>
      <c r="H160" s="3">
        <v>25.472</v>
      </c>
      <c r="I160" s="3">
        <v>9638.101499999884</v>
      </c>
      <c r="J160" s="3">
        <v>10744.61480131099</v>
      </c>
      <c r="K160" s="3">
        <v>169755.0129836143</v>
      </c>
      <c r="L160" s="3">
        <v>1.117860844636982</v>
      </c>
      <c r="M160" s="3">
        <v>6901.9533066728</v>
      </c>
      <c r="N160" s="3">
        <v>3842.661494638192</v>
      </c>
      <c r="O160" s="3">
        <v>112369.2886517977</v>
      </c>
      <c r="P160" s="3">
        <v>14.1</v>
      </c>
    </row>
    <row r="161" ht="15.75" customHeight="1">
      <c r="A161" s="3" t="s">
        <v>53</v>
      </c>
      <c r="B161" s="3">
        <v>10.0</v>
      </c>
      <c r="C161" s="3" t="s">
        <v>317</v>
      </c>
      <c r="D161" s="3">
        <v>29508.0</v>
      </c>
      <c r="E161" s="3">
        <v>151857.016728</v>
      </c>
      <c r="F161" s="3">
        <v>0.0</v>
      </c>
      <c r="G161" s="3">
        <v>829.0052205937203</v>
      </c>
      <c r="H161" s="3">
        <v>14.328</v>
      </c>
      <c r="I161" s="3">
        <v>11822.49669999986</v>
      </c>
      <c r="J161" s="3">
        <v>12665.82992059358</v>
      </c>
      <c r="K161" s="3">
        <v>182420.8429042079</v>
      </c>
      <c r="L161" s="3">
        <v>1.201267131639709</v>
      </c>
      <c r="M161" s="3">
        <v>1785.1676413205</v>
      </c>
      <c r="N161" s="3">
        <v>10880.66227927308</v>
      </c>
      <c r="O161" s="3">
        <v>123249.9509310708</v>
      </c>
      <c r="P161" s="3">
        <v>14.1</v>
      </c>
    </row>
    <row r="162" ht="15.75" customHeight="1">
      <c r="A162" s="3" t="s">
        <v>53</v>
      </c>
      <c r="B162" s="3">
        <v>11.0</v>
      </c>
      <c r="C162" s="3" t="s">
        <v>318</v>
      </c>
      <c r="D162" s="3">
        <v>29508.0</v>
      </c>
      <c r="E162" s="3">
        <v>151857.016728</v>
      </c>
      <c r="F162" s="3">
        <v>0.0</v>
      </c>
      <c r="G162" s="3">
        <v>1144.277139127966</v>
      </c>
      <c r="H162" s="3">
        <v>22.288</v>
      </c>
      <c r="I162" s="3">
        <v>13081.6958999999</v>
      </c>
      <c r="J162" s="3">
        <v>14248.26103912787</v>
      </c>
      <c r="K162" s="3">
        <v>196669.1039433357</v>
      </c>
      <c r="L162" s="3">
        <v>1.295093952066774</v>
      </c>
      <c r="M162" s="3">
        <v>6398.0248550132</v>
      </c>
      <c r="N162" s="3">
        <v>7850.236184114669</v>
      </c>
      <c r="O162" s="3">
        <v>131100.1871151854</v>
      </c>
      <c r="P162" s="3">
        <v>14.1</v>
      </c>
    </row>
    <row r="163" ht="15.75" customHeight="1">
      <c r="A163" s="3" t="s">
        <v>53</v>
      </c>
      <c r="B163" s="3">
        <v>12.0</v>
      </c>
      <c r="C163" s="3" t="s">
        <v>319</v>
      </c>
      <c r="D163" s="3">
        <v>29508.0</v>
      </c>
      <c r="E163" s="3">
        <v>151857.016728</v>
      </c>
      <c r="F163" s="3">
        <v>0.0</v>
      </c>
      <c r="G163" s="3">
        <v>381.0103610933893</v>
      </c>
      <c r="H163" s="3">
        <v>19.104</v>
      </c>
      <c r="I163" s="3">
        <v>6982.461899999937</v>
      </c>
      <c r="J163" s="3">
        <v>7382.576261093326</v>
      </c>
      <c r="K163" s="3">
        <v>204051.6802044291</v>
      </c>
      <c r="L163" s="3">
        <v>1.343709264155492</v>
      </c>
      <c r="M163" s="3">
        <v>2485.2231809218</v>
      </c>
      <c r="N163" s="3">
        <v>4897.353080171526</v>
      </c>
      <c r="O163" s="3">
        <v>135997.540195357</v>
      </c>
      <c r="P163" s="3">
        <v>14.1</v>
      </c>
    </row>
    <row r="164" ht="15.75" customHeight="1">
      <c r="A164" s="3" t="s">
        <v>53</v>
      </c>
      <c r="B164" s="3">
        <v>13.0</v>
      </c>
      <c r="C164" s="3" t="s">
        <v>320</v>
      </c>
      <c r="D164" s="3">
        <v>29508.0</v>
      </c>
      <c r="E164" s="3">
        <v>151857.016728</v>
      </c>
      <c r="F164" s="3">
        <v>0.0</v>
      </c>
      <c r="G164" s="3">
        <v>697.4439454284848</v>
      </c>
      <c r="H164" s="3">
        <v>25.472</v>
      </c>
      <c r="I164" s="3">
        <v>9607.37019999994</v>
      </c>
      <c r="J164" s="3">
        <v>10330.28614542843</v>
      </c>
      <c r="K164" s="3">
        <v>214381.9663498575</v>
      </c>
      <c r="L164" s="3">
        <v>1.411735664041456</v>
      </c>
      <c r="M164" s="3">
        <v>2003.087402804</v>
      </c>
      <c r="N164" s="3">
        <v>8327.198742624427</v>
      </c>
      <c r="O164" s="3">
        <v>144324.7389379814</v>
      </c>
      <c r="P164" s="3">
        <v>14.1</v>
      </c>
    </row>
    <row r="165" ht="15.75" customHeight="1">
      <c r="A165" s="3" t="s">
        <v>53</v>
      </c>
      <c r="B165" s="3">
        <v>14.0</v>
      </c>
      <c r="C165" s="3" t="s">
        <v>321</v>
      </c>
      <c r="D165" s="3">
        <v>29508.0</v>
      </c>
      <c r="E165" s="3">
        <v>151857.016728</v>
      </c>
      <c r="F165" s="3">
        <v>0.0</v>
      </c>
      <c r="G165" s="3">
        <v>649.1547433357377</v>
      </c>
      <c r="H165" s="3">
        <v>15.92</v>
      </c>
      <c r="I165" s="3">
        <v>7647.491299999952</v>
      </c>
      <c r="J165" s="3">
        <v>8312.56604333569</v>
      </c>
      <c r="K165" s="3">
        <v>222694.5323931932</v>
      </c>
      <c r="L165" s="3">
        <v>1.466475090789347</v>
      </c>
      <c r="M165" s="3">
        <v>1792.1484860242</v>
      </c>
      <c r="N165" s="3">
        <v>6520.41755731149</v>
      </c>
      <c r="O165" s="3">
        <v>150845.1564952929</v>
      </c>
      <c r="P165" s="3">
        <v>14.1</v>
      </c>
    </row>
    <row r="166" ht="15.75" customHeight="1">
      <c r="A166" s="3" t="s">
        <v>53</v>
      </c>
      <c r="B166" s="3">
        <v>15.0</v>
      </c>
      <c r="C166" s="3" t="s">
        <v>322</v>
      </c>
      <c r="D166" s="3">
        <v>29508.0</v>
      </c>
      <c r="E166" s="3">
        <v>151857.016728</v>
      </c>
      <c r="F166" s="3">
        <v>0.0</v>
      </c>
      <c r="G166" s="3">
        <v>693.5136086931188</v>
      </c>
      <c r="H166" s="3">
        <v>4.776</v>
      </c>
      <c r="I166" s="3">
        <v>12938.67679999996</v>
      </c>
      <c r="J166" s="3">
        <v>13636.96640869308</v>
      </c>
      <c r="K166" s="3">
        <v>236331.4988018862</v>
      </c>
      <c r="L166" s="3">
        <v>1.556276449347042</v>
      </c>
      <c r="M166" s="3">
        <v>784.5262456495</v>
      </c>
      <c r="N166" s="3">
        <v>12852.44016304358</v>
      </c>
      <c r="O166" s="3">
        <v>163697.5966583365</v>
      </c>
      <c r="P166" s="3">
        <v>14.1</v>
      </c>
    </row>
    <row r="167" ht="15.75" customHeight="1">
      <c r="A167" s="3" t="s">
        <v>53</v>
      </c>
      <c r="B167" s="3">
        <v>16.0</v>
      </c>
      <c r="C167" s="3" t="s">
        <v>323</v>
      </c>
      <c r="D167" s="3">
        <v>29508.0</v>
      </c>
      <c r="E167" s="3">
        <v>151857.016728</v>
      </c>
      <c r="F167" s="3">
        <v>0.0</v>
      </c>
      <c r="G167" s="3">
        <v>516.7830653454387</v>
      </c>
      <c r="H167" s="3">
        <v>7.960000000000001</v>
      </c>
      <c r="I167" s="3">
        <v>3878.022799999991</v>
      </c>
      <c r="J167" s="3">
        <v>4402.765865345429</v>
      </c>
      <c r="K167" s="3">
        <v>240734.2646672317</v>
      </c>
      <c r="L167" s="3">
        <v>1.585269287216573</v>
      </c>
      <c r="M167" s="3">
        <v>1190.482417385</v>
      </c>
      <c r="N167" s="3">
        <v>3212.283447960429</v>
      </c>
      <c r="O167" s="3">
        <v>166909.8801062969</v>
      </c>
      <c r="P167" s="3">
        <v>14.1</v>
      </c>
    </row>
    <row r="168" ht="15.75" customHeight="1">
      <c r="A168" s="3" t="s">
        <v>53</v>
      </c>
      <c r="B168" s="3">
        <v>17.0</v>
      </c>
      <c r="C168" s="3" t="s">
        <v>324</v>
      </c>
      <c r="D168" s="3">
        <v>29508.0</v>
      </c>
      <c r="E168" s="3">
        <v>151857.016728</v>
      </c>
      <c r="F168" s="3">
        <v>0.0</v>
      </c>
      <c r="G168" s="3">
        <v>461.3384553986533</v>
      </c>
      <c r="H168" s="3">
        <v>14.328</v>
      </c>
      <c r="I168" s="3">
        <v>6849.287099999984</v>
      </c>
      <c r="J168" s="3">
        <v>7324.953555398637</v>
      </c>
      <c r="K168" s="3">
        <v>248059.2182226304</v>
      </c>
      <c r="L168" s="3">
        <v>1.633505145613019</v>
      </c>
      <c r="M168" s="3">
        <v>3078.5938916398</v>
      </c>
      <c r="N168" s="3">
        <v>4246.359663758837</v>
      </c>
      <c r="O168" s="3">
        <v>171156.2397700557</v>
      </c>
      <c r="P168" s="3">
        <v>14.1</v>
      </c>
    </row>
    <row r="169" ht="15.75" customHeight="1">
      <c r="A169" s="3" t="s">
        <v>53</v>
      </c>
      <c r="B169" s="3">
        <v>18.0</v>
      </c>
      <c r="C169" s="3" t="s">
        <v>325</v>
      </c>
      <c r="D169" s="3">
        <v>29508.0</v>
      </c>
      <c r="E169" s="3">
        <v>151857.016728</v>
      </c>
      <c r="F169" s="3">
        <v>0.0</v>
      </c>
      <c r="G169" s="3">
        <v>530.2877547466525</v>
      </c>
      <c r="H169" s="3">
        <v>15.92</v>
      </c>
      <c r="I169" s="3">
        <v>3419.065700000001</v>
      </c>
      <c r="J169" s="3">
        <v>3965.273454746653</v>
      </c>
      <c r="K169" s="3">
        <v>252024.491677377</v>
      </c>
      <c r="L169" s="3">
        <v>1.659617033889141</v>
      </c>
      <c r="M169" s="3">
        <v>1417.6709815218</v>
      </c>
      <c r="N169" s="3">
        <v>2547.602473224853</v>
      </c>
      <c r="O169" s="3">
        <v>173703.8422432806</v>
      </c>
      <c r="P169" s="3">
        <v>14.1</v>
      </c>
    </row>
    <row r="170" ht="15.75" customHeight="1">
      <c r="A170" s="3" t="s">
        <v>53</v>
      </c>
      <c r="B170" s="3">
        <v>19.0</v>
      </c>
      <c r="C170" s="3" t="s">
        <v>326</v>
      </c>
      <c r="D170" s="3">
        <v>29508.0</v>
      </c>
      <c r="E170" s="3">
        <v>151857.016728</v>
      </c>
      <c r="F170" s="3">
        <v>0.0</v>
      </c>
      <c r="G170" s="3">
        <v>550.276920817506</v>
      </c>
      <c r="H170" s="3">
        <v>6.368</v>
      </c>
      <c r="I170" s="3">
        <v>4312.511100000002</v>
      </c>
      <c r="J170" s="3">
        <v>4869.156020817509</v>
      </c>
      <c r="K170" s="3">
        <v>256893.6476981945</v>
      </c>
      <c r="L170" s="3">
        <v>1.691681117101963</v>
      </c>
      <c r="M170" s="3">
        <v>537.9665971864</v>
      </c>
      <c r="N170" s="3">
        <v>4331.189423631109</v>
      </c>
      <c r="O170" s="3">
        <v>178035.0316669117</v>
      </c>
      <c r="P170" s="3">
        <v>14.1</v>
      </c>
    </row>
    <row r="171" ht="15.75" customHeight="1">
      <c r="A171" s="3" t="s">
        <v>53</v>
      </c>
      <c r="B171" s="3">
        <v>20.0</v>
      </c>
      <c r="C171" s="3" t="s">
        <v>327</v>
      </c>
      <c r="D171" s="3">
        <v>29508.0</v>
      </c>
      <c r="E171" s="3">
        <v>151857.016728</v>
      </c>
      <c r="F171" s="3">
        <v>0.0</v>
      </c>
      <c r="G171" s="3">
        <v>334.5916984929135</v>
      </c>
      <c r="H171" s="3">
        <v>4.776</v>
      </c>
      <c r="I171" s="3">
        <v>5233.114199999986</v>
      </c>
      <c r="J171" s="3">
        <v>5572.4818984929</v>
      </c>
      <c r="K171" s="3">
        <v>262466.1295966874</v>
      </c>
      <c r="L171" s="3">
        <v>1.728376701004247</v>
      </c>
      <c r="M171" s="3">
        <v>4436.794589438301</v>
      </c>
      <c r="N171" s="3">
        <v>1135.687309054599</v>
      </c>
      <c r="O171" s="3">
        <v>179170.7189759663</v>
      </c>
      <c r="P171" s="3">
        <v>14.1</v>
      </c>
    </row>
    <row r="172" ht="15.75" customHeight="1">
      <c r="A172" s="3" t="s">
        <v>53</v>
      </c>
      <c r="B172" s="3">
        <v>21.0</v>
      </c>
      <c r="C172" s="3" t="s">
        <v>328</v>
      </c>
      <c r="D172" s="3">
        <v>29508.0</v>
      </c>
      <c r="E172" s="3">
        <v>151857.016728</v>
      </c>
      <c r="F172" s="3">
        <v>0.0</v>
      </c>
      <c r="G172" s="3">
        <v>421.3543972400821</v>
      </c>
      <c r="H172" s="3">
        <v>9.552</v>
      </c>
      <c r="I172" s="3">
        <v>3147.827900000002</v>
      </c>
      <c r="J172" s="3">
        <v>3578.734297240084</v>
      </c>
      <c r="K172" s="3">
        <v>266044.8638939275</v>
      </c>
      <c r="L172" s="3">
        <v>1.751943174087609</v>
      </c>
      <c r="M172" s="3">
        <v>1414.7047554948</v>
      </c>
      <c r="N172" s="3">
        <v>2164.029541745284</v>
      </c>
      <c r="O172" s="3">
        <v>181334.7485177116</v>
      </c>
      <c r="P172" s="3">
        <v>14.1</v>
      </c>
    </row>
    <row r="173" ht="15.75" customHeight="1">
      <c r="A173" s="3" t="s">
        <v>53</v>
      </c>
      <c r="B173" s="3">
        <v>22.0</v>
      </c>
      <c r="C173" s="3" t="s">
        <v>329</v>
      </c>
      <c r="D173" s="3">
        <v>29508.0</v>
      </c>
      <c r="E173" s="3">
        <v>151857.016728</v>
      </c>
      <c r="F173" s="3">
        <v>0.0</v>
      </c>
      <c r="G173" s="3">
        <v>423.8047231342376</v>
      </c>
      <c r="H173" s="3">
        <v>6.368</v>
      </c>
      <c r="I173" s="3">
        <v>4828.048000000002</v>
      </c>
      <c r="J173" s="3">
        <v>5258.220723134239</v>
      </c>
      <c r="K173" s="3">
        <v>271303.0846170617</v>
      </c>
      <c r="L173" s="3">
        <v>1.78656930356408</v>
      </c>
      <c r="M173" s="3">
        <v>778.0726792106</v>
      </c>
      <c r="N173" s="3">
        <v>4480.148043923639</v>
      </c>
      <c r="O173" s="3">
        <v>185814.8965616352</v>
      </c>
      <c r="P173" s="3">
        <v>14.1</v>
      </c>
    </row>
    <row r="174" ht="15.75" customHeight="1">
      <c r="A174" s="3" t="s">
        <v>53</v>
      </c>
      <c r="B174" s="3">
        <v>23.0</v>
      </c>
      <c r="C174" s="3" t="s">
        <v>330</v>
      </c>
      <c r="D174" s="3">
        <v>29508.0</v>
      </c>
      <c r="E174" s="3">
        <v>151857.016728</v>
      </c>
      <c r="F174" s="3">
        <v>0.0</v>
      </c>
      <c r="G174" s="3">
        <v>434.6076511975692</v>
      </c>
      <c r="H174" s="3">
        <v>6.368</v>
      </c>
      <c r="I174" s="3">
        <v>2429.347000000001</v>
      </c>
      <c r="J174" s="3">
        <v>2870.32265119757</v>
      </c>
      <c r="K174" s="3">
        <v>274173.4072682593</v>
      </c>
      <c r="L174" s="3">
        <v>1.805470785451734</v>
      </c>
      <c r="M174" s="3">
        <v>905.0446967816</v>
      </c>
      <c r="N174" s="3">
        <v>1965.27795441597</v>
      </c>
      <c r="O174" s="3">
        <v>187780.1745160512</v>
      </c>
      <c r="P174" s="3">
        <v>14.1</v>
      </c>
    </row>
    <row r="175" ht="15.75" customHeight="1">
      <c r="A175" s="3" t="s">
        <v>53</v>
      </c>
      <c r="B175" s="3">
        <v>24.0</v>
      </c>
      <c r="C175" s="3" t="s">
        <v>331</v>
      </c>
      <c r="D175" s="3">
        <v>29508.0</v>
      </c>
      <c r="E175" s="3">
        <v>151857.016728</v>
      </c>
      <c r="F175" s="3">
        <v>0.0</v>
      </c>
      <c r="G175" s="3">
        <v>351.9439638740209</v>
      </c>
      <c r="H175" s="3">
        <v>15.92</v>
      </c>
      <c r="I175" s="3">
        <v>4705.719100000001</v>
      </c>
      <c r="J175" s="3">
        <v>5073.583063874022</v>
      </c>
      <c r="K175" s="3">
        <v>279246.9903321333</v>
      </c>
      <c r="L175" s="3">
        <v>1.838881049746348</v>
      </c>
      <c r="M175" s="3">
        <v>853.0611830468999</v>
      </c>
      <c r="N175" s="3">
        <v>4220.521880827122</v>
      </c>
      <c r="O175" s="3">
        <v>192000.6963968783</v>
      </c>
      <c r="P175" s="3">
        <v>14.1</v>
      </c>
    </row>
    <row r="176" ht="15.75" customHeight="1">
      <c r="A176" s="3" t="s">
        <v>53</v>
      </c>
      <c r="B176" s="3">
        <v>25.0</v>
      </c>
      <c r="C176" s="3" t="s">
        <v>332</v>
      </c>
      <c r="D176" s="3">
        <v>29508.0</v>
      </c>
      <c r="E176" s="3">
        <v>151857.016728</v>
      </c>
      <c r="F176" s="3">
        <v>0.0</v>
      </c>
      <c r="G176" s="3">
        <v>454.0812246412937</v>
      </c>
      <c r="H176" s="3">
        <v>3.184</v>
      </c>
      <c r="I176" s="3">
        <v>2343.828200000001</v>
      </c>
      <c r="J176" s="3">
        <v>2801.093424641294</v>
      </c>
      <c r="K176" s="3">
        <v>282048.0837567746</v>
      </c>
      <c r="L176" s="3">
        <v>1.857326647355173</v>
      </c>
      <c r="M176" s="3">
        <v>728.6679687359</v>
      </c>
      <c r="N176" s="3">
        <v>2072.425455905394</v>
      </c>
      <c r="O176" s="3">
        <v>194073.1218527837</v>
      </c>
      <c r="P176" s="3">
        <v>14.1</v>
      </c>
    </row>
    <row r="177" ht="15.75" customHeight="1">
      <c r="A177" s="3" t="s">
        <v>54</v>
      </c>
      <c r="B177" s="3">
        <v>0.0</v>
      </c>
      <c r="C177" s="3" t="s">
        <v>54</v>
      </c>
      <c r="D177" s="3">
        <v>25901.0</v>
      </c>
      <c r="E177" s="3">
        <v>179833.7730349999</v>
      </c>
      <c r="F177" s="3">
        <v>0.0</v>
      </c>
      <c r="G177" s="3">
        <v>1678.817164505774</v>
      </c>
      <c r="H177" s="3">
        <v>12.736</v>
      </c>
      <c r="I177" s="3">
        <v>10632.10719999954</v>
      </c>
      <c r="J177" s="3">
        <v>12323.66036450531</v>
      </c>
      <c r="K177" s="3">
        <v>12323.66036450531</v>
      </c>
      <c r="L177" s="3">
        <v>0.0685280643147426</v>
      </c>
      <c r="M177" s="3">
        <v>1767.3642424287</v>
      </c>
      <c r="N177" s="3">
        <v>10556.29612207661</v>
      </c>
      <c r="O177" s="3">
        <v>10556.29612207661</v>
      </c>
    </row>
    <row r="178" ht="15.75" customHeight="1">
      <c r="A178" s="3" t="s">
        <v>54</v>
      </c>
      <c r="B178" s="3">
        <v>1.0</v>
      </c>
      <c r="C178" s="3" t="s">
        <v>333</v>
      </c>
      <c r="D178" s="3">
        <v>25901.0</v>
      </c>
      <c r="E178" s="3">
        <v>179833.7730349999</v>
      </c>
      <c r="F178" s="3">
        <v>0.0</v>
      </c>
      <c r="G178" s="3">
        <v>2462.880821854791</v>
      </c>
      <c r="H178" s="3">
        <v>27.064</v>
      </c>
      <c r="I178" s="3">
        <v>19430.3046999994</v>
      </c>
      <c r="J178" s="3">
        <v>21920.24952185419</v>
      </c>
      <c r="K178" s="3">
        <v>34243.9098863595</v>
      </c>
      <c r="L178" s="3">
        <v>0.1904197932815146</v>
      </c>
      <c r="M178" s="3">
        <v>7543.6744500282</v>
      </c>
      <c r="N178" s="3">
        <v>14376.57507182599</v>
      </c>
      <c r="O178" s="3">
        <v>24932.8711939026</v>
      </c>
    </row>
    <row r="179" ht="15.75" customHeight="1">
      <c r="A179" s="3" t="s">
        <v>54</v>
      </c>
      <c r="B179" s="3">
        <v>2.0</v>
      </c>
      <c r="C179" s="3" t="s">
        <v>334</v>
      </c>
      <c r="D179" s="3">
        <v>25901.0</v>
      </c>
      <c r="E179" s="3">
        <v>179833.7730349999</v>
      </c>
      <c r="F179" s="3">
        <v>0.0</v>
      </c>
      <c r="G179" s="3">
        <v>2757.667272506709</v>
      </c>
      <c r="H179" s="3">
        <v>22.288</v>
      </c>
      <c r="I179" s="3">
        <v>19586.70499999929</v>
      </c>
      <c r="J179" s="3">
        <v>22366.660272506</v>
      </c>
      <c r="K179" s="3">
        <v>56610.5701588655</v>
      </c>
      <c r="L179" s="3">
        <v>0.3147938743844725</v>
      </c>
      <c r="M179" s="3">
        <v>6400.6712922261</v>
      </c>
      <c r="N179" s="3">
        <v>15965.9889802799</v>
      </c>
      <c r="O179" s="3">
        <v>40898.8601741825</v>
      </c>
    </row>
    <row r="180" ht="15.75" customHeight="1">
      <c r="A180" s="3" t="s">
        <v>54</v>
      </c>
      <c r="B180" s="3">
        <v>3.0</v>
      </c>
      <c r="C180" s="3" t="s">
        <v>335</v>
      </c>
      <c r="D180" s="3">
        <v>25901.0</v>
      </c>
      <c r="E180" s="3">
        <v>179833.7730349999</v>
      </c>
      <c r="F180" s="3">
        <v>0.0</v>
      </c>
      <c r="G180" s="3">
        <v>2782.735434064345</v>
      </c>
      <c r="H180" s="3">
        <v>23.88</v>
      </c>
      <c r="I180" s="3">
        <v>20129.07539999924</v>
      </c>
      <c r="J180" s="3">
        <v>22935.69083406358</v>
      </c>
      <c r="K180" s="3">
        <v>79546.26099292908</v>
      </c>
      <c r="L180" s="3">
        <v>0.4423321584730778</v>
      </c>
      <c r="M180" s="3">
        <v>6570.856291914301</v>
      </c>
      <c r="N180" s="3">
        <v>16364.83454214928</v>
      </c>
      <c r="O180" s="3">
        <v>57263.69471633177</v>
      </c>
    </row>
    <row r="181" ht="15.75" customHeight="1">
      <c r="A181" s="3" t="s">
        <v>54</v>
      </c>
      <c r="B181" s="3">
        <v>4.0</v>
      </c>
      <c r="C181" s="3" t="s">
        <v>336</v>
      </c>
      <c r="D181" s="3">
        <v>25901.0</v>
      </c>
      <c r="E181" s="3">
        <v>179833.7730349999</v>
      </c>
      <c r="F181" s="3">
        <v>0.0</v>
      </c>
      <c r="G181" s="3">
        <v>3066.338069223079</v>
      </c>
      <c r="H181" s="3">
        <v>44.57599999999999</v>
      </c>
      <c r="I181" s="3">
        <v>23654.46919999948</v>
      </c>
      <c r="J181" s="3">
        <v>26765.38326922256</v>
      </c>
      <c r="K181" s="3">
        <v>106311.6442621516</v>
      </c>
      <c r="L181" s="3">
        <v>0.5911661778984134</v>
      </c>
      <c r="M181" s="3">
        <v>4980.5990544641</v>
      </c>
      <c r="N181" s="3">
        <v>21784.78421475846</v>
      </c>
      <c r="O181" s="3">
        <v>79048.47893109024</v>
      </c>
    </row>
    <row r="182" ht="15.75" customHeight="1">
      <c r="A182" s="3" t="s">
        <v>54</v>
      </c>
      <c r="B182" s="3">
        <v>5.0</v>
      </c>
      <c r="C182" s="3" t="s">
        <v>337</v>
      </c>
      <c r="D182" s="3">
        <v>25901.0</v>
      </c>
      <c r="E182" s="3">
        <v>179833.7730349999</v>
      </c>
      <c r="F182" s="3">
        <v>0.0</v>
      </c>
      <c r="G182" s="3">
        <v>1760.931655109585</v>
      </c>
      <c r="H182" s="3">
        <v>54.12799999999998</v>
      </c>
      <c r="I182" s="3">
        <v>7555.752799999938</v>
      </c>
      <c r="J182" s="3">
        <v>9370.812455109522</v>
      </c>
      <c r="K182" s="3">
        <v>115682.4567172612</v>
      </c>
      <c r="L182" s="3">
        <v>0.6432743681285419</v>
      </c>
      <c r="M182" s="3">
        <v>4190.0232017308</v>
      </c>
      <c r="N182" s="3">
        <v>5180.789253378723</v>
      </c>
      <c r="O182" s="3">
        <v>84229.26818446897</v>
      </c>
    </row>
    <row r="183" ht="15.75" customHeight="1">
      <c r="A183" s="3" t="s">
        <v>54</v>
      </c>
      <c r="B183" s="3">
        <v>6.0</v>
      </c>
      <c r="C183" s="3" t="s">
        <v>338</v>
      </c>
      <c r="D183" s="3">
        <v>25901.0</v>
      </c>
      <c r="E183" s="3">
        <v>179833.7730349999</v>
      </c>
      <c r="F183" s="3">
        <v>0.0</v>
      </c>
      <c r="G183" s="3">
        <v>1270.818532648624</v>
      </c>
      <c r="H183" s="3">
        <v>47.75999999999998</v>
      </c>
      <c r="I183" s="3">
        <v>9331.709199999876</v>
      </c>
      <c r="J183" s="3">
        <v>10650.2877326485</v>
      </c>
      <c r="K183" s="3">
        <v>126332.7444499097</v>
      </c>
      <c r="L183" s="3">
        <v>0.7024973247117622</v>
      </c>
      <c r="M183" s="3">
        <v>1796.2499642468</v>
      </c>
      <c r="N183" s="3">
        <v>8854.037768401702</v>
      </c>
      <c r="O183" s="3">
        <v>93083.30595287068</v>
      </c>
    </row>
    <row r="184" ht="15.75" customHeight="1">
      <c r="A184" s="3" t="s">
        <v>54</v>
      </c>
      <c r="B184" s="3">
        <v>7.0</v>
      </c>
      <c r="C184" s="3" t="s">
        <v>339</v>
      </c>
      <c r="D184" s="3">
        <v>25901.0</v>
      </c>
      <c r="E184" s="3">
        <v>179833.7730349999</v>
      </c>
      <c r="F184" s="3">
        <v>0.0</v>
      </c>
      <c r="G184" s="3">
        <v>1386.689576918939</v>
      </c>
      <c r="H184" s="3">
        <v>31.84</v>
      </c>
      <c r="I184" s="3">
        <v>6280.337699999966</v>
      </c>
      <c r="J184" s="3">
        <v>7698.867276918905</v>
      </c>
      <c r="K184" s="3">
        <v>134031.6117268286</v>
      </c>
      <c r="L184" s="3">
        <v>0.74530834483878</v>
      </c>
      <c r="M184" s="3">
        <v>7929.4099953311</v>
      </c>
      <c r="N184" s="3">
        <v>-230.5427184121945</v>
      </c>
      <c r="O184" s="3">
        <v>92852.76323445849</v>
      </c>
    </row>
    <row r="185" ht="15.75" customHeight="1">
      <c r="A185" s="3" t="s">
        <v>54</v>
      </c>
      <c r="B185" s="3">
        <v>8.0</v>
      </c>
      <c r="C185" s="3" t="s">
        <v>340</v>
      </c>
      <c r="D185" s="3">
        <v>25901.0</v>
      </c>
      <c r="E185" s="3">
        <v>179833.7730349999</v>
      </c>
      <c r="F185" s="3">
        <v>0.0</v>
      </c>
      <c r="G185" s="3">
        <v>834.4762377714169</v>
      </c>
      <c r="H185" s="3">
        <v>17.512</v>
      </c>
      <c r="I185" s="3">
        <v>6394.706799999927</v>
      </c>
      <c r="J185" s="3">
        <v>7246.695037771344</v>
      </c>
      <c r="K185" s="3">
        <v>141278.3067645999</v>
      </c>
      <c r="L185" s="3">
        <v>0.785604974973771</v>
      </c>
      <c r="M185" s="3">
        <v>6175.2137947947</v>
      </c>
      <c r="N185" s="3">
        <v>1071.481242976643</v>
      </c>
      <c r="O185" s="3">
        <v>93924.24447743512</v>
      </c>
    </row>
    <row r="186" ht="15.75" customHeight="1">
      <c r="A186" s="3" t="s">
        <v>54</v>
      </c>
      <c r="B186" s="3">
        <v>9.0</v>
      </c>
      <c r="C186" s="3" t="s">
        <v>341</v>
      </c>
      <c r="D186" s="3">
        <v>25901.0</v>
      </c>
      <c r="E186" s="3">
        <v>179833.7730349999</v>
      </c>
      <c r="F186" s="3">
        <v>0.0</v>
      </c>
      <c r="G186" s="3">
        <v>821.5792918732245</v>
      </c>
      <c r="H186" s="3">
        <v>14.328</v>
      </c>
      <c r="I186" s="3">
        <v>3548.194000000004</v>
      </c>
      <c r="J186" s="3">
        <v>4384.101291873229</v>
      </c>
      <c r="K186" s="3">
        <v>145662.4080564732</v>
      </c>
      <c r="L186" s="3">
        <v>0.8099836065171352</v>
      </c>
      <c r="M186" s="3">
        <v>2260.3856882623</v>
      </c>
      <c r="N186" s="3">
        <v>2123.715603610928</v>
      </c>
      <c r="O186" s="3">
        <v>96047.96008104604</v>
      </c>
    </row>
    <row r="187" ht="15.75" customHeight="1">
      <c r="A187" s="3" t="s">
        <v>54</v>
      </c>
      <c r="B187" s="3">
        <v>10.0</v>
      </c>
      <c r="C187" s="3" t="s">
        <v>342</v>
      </c>
      <c r="D187" s="3">
        <v>25901.0</v>
      </c>
      <c r="E187" s="3">
        <v>179833.7730349999</v>
      </c>
      <c r="F187" s="3">
        <v>0.0</v>
      </c>
      <c r="G187" s="3">
        <v>806.2531481503058</v>
      </c>
      <c r="H187" s="3">
        <v>30.248</v>
      </c>
      <c r="I187" s="3">
        <v>4840.95339999997</v>
      </c>
      <c r="J187" s="3">
        <v>5677.454548150276</v>
      </c>
      <c r="K187" s="3">
        <v>151339.8626046234</v>
      </c>
      <c r="L187" s="3">
        <v>0.8415541755617234</v>
      </c>
      <c r="M187" s="3">
        <v>1612.8109134093</v>
      </c>
      <c r="N187" s="3">
        <v>4064.643634740976</v>
      </c>
      <c r="O187" s="3">
        <v>100112.603715787</v>
      </c>
    </row>
    <row r="188" ht="15.75" customHeight="1">
      <c r="A188" s="3" t="s">
        <v>54</v>
      </c>
      <c r="B188" s="3">
        <v>11.0</v>
      </c>
      <c r="C188" s="3" t="s">
        <v>343</v>
      </c>
      <c r="D188" s="3">
        <v>25901.0</v>
      </c>
      <c r="E188" s="3">
        <v>179833.7730349999</v>
      </c>
      <c r="F188" s="3">
        <v>0.0</v>
      </c>
      <c r="G188" s="3">
        <v>426.7718060273523</v>
      </c>
      <c r="H188" s="3">
        <v>27.064</v>
      </c>
      <c r="I188" s="3">
        <v>2973.348000000001</v>
      </c>
      <c r="J188" s="3">
        <v>3427.183806027353</v>
      </c>
      <c r="K188" s="3">
        <v>154767.0464106508</v>
      </c>
      <c r="L188" s="3">
        <v>0.8606116848837367</v>
      </c>
      <c r="M188" s="3">
        <v>277.356013923</v>
      </c>
      <c r="N188" s="3">
        <v>3149.827792104353</v>
      </c>
      <c r="O188" s="3">
        <v>103262.4315078914</v>
      </c>
    </row>
    <row r="189" ht="15.75" customHeight="1">
      <c r="A189" s="3" t="s">
        <v>54</v>
      </c>
      <c r="B189" s="3">
        <v>12.0</v>
      </c>
      <c r="C189" s="3" t="s">
        <v>344</v>
      </c>
      <c r="D189" s="3">
        <v>25901.0</v>
      </c>
      <c r="E189" s="3">
        <v>179833.7730349999</v>
      </c>
      <c r="F189" s="3">
        <v>0.0</v>
      </c>
      <c r="G189" s="3">
        <v>468.8096367673843</v>
      </c>
      <c r="H189" s="3">
        <v>4.776</v>
      </c>
      <c r="I189" s="3">
        <v>3313.714400000002</v>
      </c>
      <c r="J189" s="3">
        <v>3787.300036767386</v>
      </c>
      <c r="K189" s="3">
        <v>158554.3464474182</v>
      </c>
      <c r="L189" s="3">
        <v>0.8816716892024488</v>
      </c>
      <c r="M189" s="3">
        <v>2642.2392421323</v>
      </c>
      <c r="N189" s="3">
        <v>1145.060794635086</v>
      </c>
      <c r="O189" s="3">
        <v>104407.4923025264</v>
      </c>
    </row>
    <row r="190" ht="15.75" customHeight="1">
      <c r="A190" s="3" t="s">
        <v>54</v>
      </c>
      <c r="B190" s="3">
        <v>13.0</v>
      </c>
      <c r="C190" s="3" t="s">
        <v>57</v>
      </c>
      <c r="D190" s="3">
        <v>25901.0</v>
      </c>
      <c r="E190" s="3">
        <v>179833.7730349999</v>
      </c>
      <c r="F190" s="3">
        <v>0.0</v>
      </c>
      <c r="G190" s="3">
        <v>430.9424894624803</v>
      </c>
      <c r="H190" s="3">
        <v>12.736</v>
      </c>
      <c r="I190" s="3">
        <v>4396.806500000002</v>
      </c>
      <c r="J190" s="3">
        <v>4840.484989462482</v>
      </c>
      <c r="K190" s="3">
        <v>163394.8314368806</v>
      </c>
      <c r="L190" s="3">
        <v>0.908588129355881</v>
      </c>
      <c r="M190" s="3">
        <v>635.3628414138999</v>
      </c>
      <c r="N190" s="3">
        <v>4205.122148048582</v>
      </c>
      <c r="O190" s="3">
        <v>108612.614450575</v>
      </c>
    </row>
    <row r="191" ht="15.75" customHeight="1">
      <c r="A191" s="3" t="s">
        <v>54</v>
      </c>
      <c r="B191" s="3">
        <v>14.0</v>
      </c>
      <c r="C191" s="3" t="s">
        <v>345</v>
      </c>
      <c r="D191" s="3">
        <v>25901.0</v>
      </c>
      <c r="E191" s="3">
        <v>179833.7730349999</v>
      </c>
      <c r="F191" s="3">
        <v>0.0</v>
      </c>
      <c r="G191" s="3">
        <v>605.8851380286977</v>
      </c>
      <c r="H191" s="3">
        <v>9.552</v>
      </c>
      <c r="I191" s="3">
        <v>10341.10089999998</v>
      </c>
      <c r="J191" s="3">
        <v>10956.53803802868</v>
      </c>
      <c r="K191" s="3">
        <v>174351.3694749093</v>
      </c>
      <c r="L191" s="3">
        <v>0.969514049182388</v>
      </c>
      <c r="M191" s="3">
        <v>6865.955092906601</v>
      </c>
      <c r="N191" s="3">
        <v>4090.582945122076</v>
      </c>
      <c r="O191" s="3">
        <v>112703.1973956971</v>
      </c>
    </row>
    <row r="192" ht="15.75" customHeight="1">
      <c r="A192" s="3" t="s">
        <v>54</v>
      </c>
      <c r="B192" s="3">
        <v>15.0</v>
      </c>
      <c r="C192" s="3" t="s">
        <v>346</v>
      </c>
      <c r="D192" s="3">
        <v>25901.0</v>
      </c>
      <c r="E192" s="3">
        <v>179833.7730349999</v>
      </c>
      <c r="F192" s="3">
        <v>0.0</v>
      </c>
      <c r="G192" s="3">
        <v>242.667238361993</v>
      </c>
      <c r="H192" s="3">
        <v>7.960000000000001</v>
      </c>
      <c r="I192" s="3">
        <v>3680.817499999987</v>
      </c>
      <c r="J192" s="3">
        <v>3931.444738361981</v>
      </c>
      <c r="K192" s="3">
        <v>178282.8142132713</v>
      </c>
      <c r="L192" s="3">
        <v>0.9913755976113188</v>
      </c>
      <c r="M192" s="3">
        <v>602.2446490463</v>
      </c>
      <c r="N192" s="3">
        <v>3329.200089315681</v>
      </c>
      <c r="O192" s="3">
        <v>116032.3974850128</v>
      </c>
    </row>
    <row r="193" ht="15.75" customHeight="1">
      <c r="A193" s="3" t="s">
        <v>54</v>
      </c>
      <c r="B193" s="3">
        <v>16.0</v>
      </c>
      <c r="C193" s="3" t="s">
        <v>347</v>
      </c>
      <c r="D193" s="3">
        <v>25901.0</v>
      </c>
      <c r="E193" s="3">
        <v>179833.7730349999</v>
      </c>
      <c r="F193" s="3">
        <v>0.0</v>
      </c>
      <c r="G193" s="3">
        <v>454.1380228220783</v>
      </c>
      <c r="H193" s="3">
        <v>14.328</v>
      </c>
      <c r="I193" s="3">
        <v>7884.512099999985</v>
      </c>
      <c r="J193" s="3">
        <v>8352.978122822064</v>
      </c>
      <c r="K193" s="3">
        <v>186635.7923360933</v>
      </c>
      <c r="L193" s="3">
        <v>1.037823925874978</v>
      </c>
      <c r="M193" s="3">
        <v>1294.1622519927</v>
      </c>
      <c r="N193" s="3">
        <v>7058.815870829363</v>
      </c>
      <c r="O193" s="3">
        <v>123091.2133558422</v>
      </c>
    </row>
    <row r="194" ht="15.75" customHeight="1">
      <c r="A194" s="3" t="s">
        <v>54</v>
      </c>
      <c r="B194" s="3">
        <v>17.0</v>
      </c>
      <c r="C194" s="3" t="s">
        <v>348</v>
      </c>
      <c r="D194" s="3">
        <v>25901.0</v>
      </c>
      <c r="E194" s="3">
        <v>179833.7730349999</v>
      </c>
      <c r="F194" s="3">
        <v>0.0</v>
      </c>
      <c r="G194" s="3">
        <v>299.3332068030873</v>
      </c>
      <c r="H194" s="3">
        <v>17.512</v>
      </c>
      <c r="I194" s="3">
        <v>7143.893299999993</v>
      </c>
      <c r="J194" s="3">
        <v>7460.738506803081</v>
      </c>
      <c r="K194" s="3">
        <v>194096.5308428964</v>
      </c>
      <c r="L194" s="3">
        <v>1.079310785550391</v>
      </c>
      <c r="M194" s="3">
        <v>1021.2776415233</v>
      </c>
      <c r="N194" s="3">
        <v>6439.460865279781</v>
      </c>
      <c r="O194" s="3">
        <v>129530.6742211219</v>
      </c>
    </row>
    <row r="195" ht="15.75" customHeight="1">
      <c r="A195" s="3" t="s">
        <v>54</v>
      </c>
      <c r="B195" s="3">
        <v>18.0</v>
      </c>
      <c r="C195" s="3" t="s">
        <v>349</v>
      </c>
      <c r="D195" s="3">
        <v>25901.0</v>
      </c>
      <c r="E195" s="3">
        <v>179833.7730349999</v>
      </c>
      <c r="F195" s="3">
        <v>0.0</v>
      </c>
      <c r="G195" s="3">
        <v>221.3112524278428</v>
      </c>
      <c r="H195" s="3">
        <v>19.104</v>
      </c>
      <c r="I195" s="3">
        <v>4111.950400000001</v>
      </c>
      <c r="J195" s="3">
        <v>4352.365652427843</v>
      </c>
      <c r="K195" s="3">
        <v>198448.8964953243</v>
      </c>
      <c r="L195" s="3">
        <v>1.103512945016737</v>
      </c>
      <c r="M195" s="3">
        <v>2597.7485967324</v>
      </c>
      <c r="N195" s="3">
        <v>1754.617055695444</v>
      </c>
      <c r="O195" s="3">
        <v>131285.2912768174</v>
      </c>
    </row>
    <row r="196" ht="15.75" customHeight="1">
      <c r="A196" s="3" t="s">
        <v>54</v>
      </c>
      <c r="B196" s="3">
        <v>19.0</v>
      </c>
      <c r="C196" s="3" t="s">
        <v>350</v>
      </c>
      <c r="D196" s="3">
        <v>25901.0</v>
      </c>
      <c r="E196" s="3">
        <v>179833.7730349999</v>
      </c>
      <c r="F196" s="3">
        <v>0.0</v>
      </c>
      <c r="G196" s="3">
        <v>448.9734630412086</v>
      </c>
      <c r="H196" s="3">
        <v>12.736</v>
      </c>
      <c r="I196" s="3">
        <v>3819.342300000001</v>
      </c>
      <c r="J196" s="3">
        <v>4281.05176304121</v>
      </c>
      <c r="K196" s="3">
        <v>202729.9482583655</v>
      </c>
      <c r="L196" s="3">
        <v>1.127318549997332</v>
      </c>
      <c r="M196" s="3">
        <v>710.6457355758001</v>
      </c>
      <c r="N196" s="3">
        <v>3570.406027465409</v>
      </c>
      <c r="O196" s="3">
        <v>134855.6973042828</v>
      </c>
    </row>
    <row r="197" ht="15.75" customHeight="1">
      <c r="A197" s="3" t="s">
        <v>54</v>
      </c>
      <c r="B197" s="3">
        <v>20.0</v>
      </c>
      <c r="C197" s="3" t="s">
        <v>351</v>
      </c>
      <c r="D197" s="3">
        <v>25901.0</v>
      </c>
      <c r="E197" s="3">
        <v>179833.7730349999</v>
      </c>
      <c r="F197" s="3">
        <v>0.0</v>
      </c>
      <c r="G197" s="3">
        <v>346.5291222256919</v>
      </c>
      <c r="H197" s="3">
        <v>6.368</v>
      </c>
      <c r="I197" s="3">
        <v>2696.183700000001</v>
      </c>
      <c r="J197" s="3">
        <v>3049.080822225693</v>
      </c>
      <c r="K197" s="3">
        <v>205779.0290805912</v>
      </c>
      <c r="L197" s="3">
        <v>1.1442735455511</v>
      </c>
      <c r="M197" s="3">
        <v>783.5392428598999</v>
      </c>
      <c r="N197" s="3">
        <v>2265.541579365793</v>
      </c>
      <c r="O197" s="3">
        <v>137121.2388836486</v>
      </c>
    </row>
    <row r="198" ht="15.75" customHeight="1">
      <c r="A198" s="3" t="s">
        <v>54</v>
      </c>
      <c r="B198" s="3">
        <v>21.0</v>
      </c>
      <c r="C198" s="3" t="s">
        <v>352</v>
      </c>
      <c r="D198" s="3">
        <v>25901.0</v>
      </c>
      <c r="E198" s="3">
        <v>179833.7730349999</v>
      </c>
      <c r="F198" s="3">
        <v>0.0</v>
      </c>
      <c r="G198" s="3">
        <v>68.04520781457228</v>
      </c>
      <c r="H198" s="3">
        <v>0.0</v>
      </c>
      <c r="I198" s="3">
        <v>515.8720000000001</v>
      </c>
      <c r="J198" s="3">
        <v>583.9172078145723</v>
      </c>
      <c r="K198" s="3">
        <v>206362.9462884057</v>
      </c>
      <c r="L198" s="3">
        <v>1.147520528573032</v>
      </c>
      <c r="M198" s="3">
        <v>47.227080384</v>
      </c>
      <c r="N198" s="3">
        <v>536.6901274305723</v>
      </c>
      <c r="O198" s="3">
        <v>137657.9290110791</v>
      </c>
    </row>
    <row r="199" ht="15.75" customHeight="1">
      <c r="A199" s="3" t="s">
        <v>55</v>
      </c>
      <c r="B199" s="3">
        <v>0.0</v>
      </c>
      <c r="C199" s="3" t="s">
        <v>55</v>
      </c>
      <c r="D199" s="3">
        <v>24024.0</v>
      </c>
      <c r="E199" s="3">
        <v>160252.719739</v>
      </c>
      <c r="F199" s="3">
        <v>0.0</v>
      </c>
      <c r="G199" s="3">
        <v>1139.794080722397</v>
      </c>
      <c r="H199" s="3">
        <v>4.776</v>
      </c>
      <c r="I199" s="3">
        <v>7560.051999999801</v>
      </c>
      <c r="J199" s="3">
        <v>8704.622080722198</v>
      </c>
      <c r="K199" s="3">
        <v>8704.622080722198</v>
      </c>
      <c r="L199" s="3">
        <v>0.0543180926657545</v>
      </c>
      <c r="M199" s="3">
        <v>634.7256264252001</v>
      </c>
      <c r="N199" s="3">
        <v>8069.896454296998</v>
      </c>
      <c r="O199" s="3">
        <v>8069.896454296998</v>
      </c>
    </row>
    <row r="200" ht="15.75" customHeight="1">
      <c r="A200" s="3" t="s">
        <v>55</v>
      </c>
      <c r="B200" s="3">
        <v>1.0</v>
      </c>
      <c r="C200" s="3" t="s">
        <v>353</v>
      </c>
      <c r="D200" s="3">
        <v>24024.0</v>
      </c>
      <c r="E200" s="3">
        <v>160252.719739</v>
      </c>
      <c r="F200" s="3">
        <v>0.0</v>
      </c>
      <c r="G200" s="3">
        <v>2787.033707821546</v>
      </c>
      <c r="H200" s="3">
        <v>15.92</v>
      </c>
      <c r="I200" s="3">
        <v>13538.16619999961</v>
      </c>
      <c r="J200" s="3">
        <v>16341.11990782116</v>
      </c>
      <c r="K200" s="3">
        <v>25045.74198854336</v>
      </c>
      <c r="L200" s="3">
        <v>0.1562890291617814</v>
      </c>
      <c r="M200" s="3">
        <v>3244.6110899937</v>
      </c>
      <c r="N200" s="3">
        <v>13096.50881782746</v>
      </c>
      <c r="O200" s="3">
        <v>21166.40527212445</v>
      </c>
    </row>
    <row r="201" ht="15.75" customHeight="1">
      <c r="A201" s="3" t="s">
        <v>55</v>
      </c>
      <c r="B201" s="3">
        <v>2.0</v>
      </c>
      <c r="C201" s="3" t="s">
        <v>354</v>
      </c>
      <c r="D201" s="3">
        <v>24024.0</v>
      </c>
      <c r="E201" s="3">
        <v>160252.719739</v>
      </c>
      <c r="F201" s="3">
        <v>0.0</v>
      </c>
      <c r="G201" s="3">
        <v>3567.333119700525</v>
      </c>
      <c r="H201" s="3">
        <v>47.75999999999998</v>
      </c>
      <c r="I201" s="3">
        <v>59281.37590000097</v>
      </c>
      <c r="J201" s="3">
        <v>62896.46901970149</v>
      </c>
      <c r="K201" s="3">
        <v>87942.21100824485</v>
      </c>
      <c r="L201" s="3">
        <v>0.5487720342685876</v>
      </c>
      <c r="M201" s="3">
        <v>4950.5005258038</v>
      </c>
      <c r="N201" s="3">
        <v>57945.96849389769</v>
      </c>
      <c r="O201" s="3">
        <v>79112.37376602215</v>
      </c>
    </row>
    <row r="202" ht="15.75" customHeight="1">
      <c r="A202" s="3" t="s">
        <v>55</v>
      </c>
      <c r="B202" s="3">
        <v>3.0</v>
      </c>
      <c r="C202" s="3" t="s">
        <v>355</v>
      </c>
      <c r="D202" s="3">
        <v>24024.0</v>
      </c>
      <c r="E202" s="3">
        <v>160252.719739</v>
      </c>
      <c r="F202" s="3">
        <v>0.0</v>
      </c>
      <c r="G202" s="3">
        <v>3176.86077556647</v>
      </c>
      <c r="H202" s="3">
        <v>50.94399999999998</v>
      </c>
      <c r="I202" s="3">
        <v>16931.64059999943</v>
      </c>
      <c r="J202" s="3">
        <v>20159.4453755659</v>
      </c>
      <c r="K202" s="3">
        <v>108101.6563838108</v>
      </c>
      <c r="L202" s="3">
        <v>0.6745698703889301</v>
      </c>
      <c r="M202" s="3">
        <v>5597.540061996199</v>
      </c>
      <c r="N202" s="3">
        <v>14561.9053135697</v>
      </c>
      <c r="O202" s="3">
        <v>93674.27907959186</v>
      </c>
    </row>
    <row r="203" ht="15.75" customHeight="1">
      <c r="A203" s="3" t="s">
        <v>55</v>
      </c>
      <c r="B203" s="3">
        <v>4.0</v>
      </c>
      <c r="C203" s="3" t="s">
        <v>356</v>
      </c>
      <c r="D203" s="3">
        <v>24024.0</v>
      </c>
      <c r="E203" s="3">
        <v>160252.719739</v>
      </c>
      <c r="F203" s="3">
        <v>0.0</v>
      </c>
      <c r="G203" s="3">
        <v>4154.748154576614</v>
      </c>
      <c r="H203" s="3">
        <v>65.27199999999998</v>
      </c>
      <c r="I203" s="3">
        <v>21257.2793999996</v>
      </c>
      <c r="J203" s="3">
        <v>25477.29955457621</v>
      </c>
      <c r="K203" s="3">
        <v>133578.955938387</v>
      </c>
      <c r="L203" s="3">
        <v>0.8335518807789598</v>
      </c>
      <c r="M203" s="3">
        <v>6452.0819304389</v>
      </c>
      <c r="N203" s="3">
        <v>19025.21762413732</v>
      </c>
      <c r="O203" s="3">
        <v>112699.4967037292</v>
      </c>
    </row>
    <row r="204" ht="15.75" customHeight="1">
      <c r="A204" s="3" t="s">
        <v>55</v>
      </c>
      <c r="B204" s="3">
        <v>5.0</v>
      </c>
      <c r="C204" s="3" t="s">
        <v>357</v>
      </c>
      <c r="D204" s="3">
        <v>24024.0</v>
      </c>
      <c r="E204" s="3">
        <v>160252.719739</v>
      </c>
      <c r="F204" s="3">
        <v>0.0</v>
      </c>
      <c r="G204" s="3">
        <v>2459.00152481196</v>
      </c>
      <c r="H204" s="3">
        <v>49.35199999999998</v>
      </c>
      <c r="I204" s="3">
        <v>7629.060399999877</v>
      </c>
      <c r="J204" s="3">
        <v>10137.41392481184</v>
      </c>
      <c r="K204" s="3">
        <v>143716.3698631988</v>
      </c>
      <c r="L204" s="3">
        <v>0.8968108004486068</v>
      </c>
      <c r="M204" s="3">
        <v>3496.7236747163</v>
      </c>
      <c r="N204" s="3">
        <v>6640.690250095535</v>
      </c>
      <c r="O204" s="3">
        <v>119340.1869538247</v>
      </c>
    </row>
    <row r="205" ht="15.75" customHeight="1">
      <c r="A205" s="3" t="s">
        <v>55</v>
      </c>
      <c r="B205" s="3">
        <v>6.0</v>
      </c>
      <c r="C205" s="3" t="s">
        <v>358</v>
      </c>
      <c r="D205" s="3">
        <v>24024.0</v>
      </c>
      <c r="E205" s="3">
        <v>160252.719739</v>
      </c>
      <c r="F205" s="3">
        <v>0.0</v>
      </c>
      <c r="G205" s="3">
        <v>1906.401140448086</v>
      </c>
      <c r="H205" s="3">
        <v>19.104</v>
      </c>
      <c r="I205" s="3">
        <v>4977.1688</v>
      </c>
      <c r="J205" s="3">
        <v>6902.673940448086</v>
      </c>
      <c r="K205" s="3">
        <v>150619.0438036469</v>
      </c>
      <c r="L205" s="3">
        <v>0.939884477773337</v>
      </c>
      <c r="M205" s="3">
        <v>1956.1529212699</v>
      </c>
      <c r="N205" s="3">
        <v>4946.521019178186</v>
      </c>
      <c r="O205" s="3">
        <v>124286.7079730029</v>
      </c>
    </row>
    <row r="206" ht="15.75" customHeight="1">
      <c r="A206" s="3" t="s">
        <v>55</v>
      </c>
      <c r="B206" s="3">
        <v>7.0</v>
      </c>
      <c r="C206" s="3" t="s">
        <v>359</v>
      </c>
      <c r="D206" s="3">
        <v>24024.0</v>
      </c>
      <c r="E206" s="3">
        <v>160252.719739</v>
      </c>
      <c r="F206" s="3">
        <v>0.0</v>
      </c>
      <c r="G206" s="3">
        <v>1090.59641520797</v>
      </c>
      <c r="H206" s="3">
        <v>27.064</v>
      </c>
      <c r="I206" s="3">
        <v>4323.750699999999</v>
      </c>
      <c r="J206" s="3">
        <v>5441.411115207969</v>
      </c>
      <c r="K206" s="3">
        <v>156060.4549188549</v>
      </c>
      <c r="L206" s="3">
        <v>0.9738396650804246</v>
      </c>
      <c r="M206" s="3">
        <v>1801.1852187703</v>
      </c>
      <c r="N206" s="3">
        <v>3640.22589643767</v>
      </c>
      <c r="O206" s="3">
        <v>127926.9338694406</v>
      </c>
    </row>
    <row r="207" ht="15.75" customHeight="1">
      <c r="A207" s="3" t="s">
        <v>55</v>
      </c>
      <c r="B207" s="3">
        <v>8.0</v>
      </c>
      <c r="C207" s="3" t="s">
        <v>360</v>
      </c>
      <c r="D207" s="3">
        <v>24024.0</v>
      </c>
      <c r="E207" s="3">
        <v>160252.719739</v>
      </c>
      <c r="F207" s="3">
        <v>0.0</v>
      </c>
      <c r="G207" s="3">
        <v>1353.30189869918</v>
      </c>
      <c r="H207" s="3">
        <v>35.02399999999999</v>
      </c>
      <c r="I207" s="3">
        <v>4997.893899999996</v>
      </c>
      <c r="J207" s="3">
        <v>6386.219798699176</v>
      </c>
      <c r="K207" s="3">
        <v>162446.674717554</v>
      </c>
      <c r="L207" s="3">
        <v>1.013690594344528</v>
      </c>
      <c r="M207" s="3">
        <v>1660.9519799301</v>
      </c>
      <c r="N207" s="3">
        <v>4725.267818769076</v>
      </c>
      <c r="O207" s="3">
        <v>132652.2016882096</v>
      </c>
    </row>
    <row r="208" ht="15.75" customHeight="1">
      <c r="A208" s="3" t="s">
        <v>55</v>
      </c>
      <c r="B208" s="3">
        <v>9.0</v>
      </c>
      <c r="C208" s="3" t="s">
        <v>361</v>
      </c>
      <c r="D208" s="3">
        <v>24024.0</v>
      </c>
      <c r="E208" s="3">
        <v>160252.719739</v>
      </c>
      <c r="F208" s="3">
        <v>0.0</v>
      </c>
      <c r="G208" s="3">
        <v>740.075384850859</v>
      </c>
      <c r="H208" s="3">
        <v>31.84</v>
      </c>
      <c r="I208" s="3">
        <v>4045.698600000002</v>
      </c>
      <c r="J208" s="3">
        <v>4817.613984850861</v>
      </c>
      <c r="K208" s="3">
        <v>167264.2887024049</v>
      </c>
      <c r="L208" s="3">
        <v>1.043753197916544</v>
      </c>
      <c r="M208" s="3">
        <v>3539.883708467701</v>
      </c>
      <c r="N208" s="3">
        <v>1277.73027638316</v>
      </c>
      <c r="O208" s="3">
        <v>133929.9319645928</v>
      </c>
    </row>
    <row r="209" ht="15.75" customHeight="1">
      <c r="A209" s="3" t="s">
        <v>55</v>
      </c>
      <c r="B209" s="3">
        <v>10.0</v>
      </c>
      <c r="C209" s="3" t="s">
        <v>362</v>
      </c>
      <c r="D209" s="3">
        <v>24024.0</v>
      </c>
      <c r="E209" s="3">
        <v>160252.719739</v>
      </c>
      <c r="F209" s="3">
        <v>0.0</v>
      </c>
      <c r="G209" s="3">
        <v>821.0847544072092</v>
      </c>
      <c r="H209" s="3">
        <v>12.736</v>
      </c>
      <c r="I209" s="3">
        <v>2866.947200000001</v>
      </c>
      <c r="J209" s="3">
        <v>3700.76795440721</v>
      </c>
      <c r="K209" s="3">
        <v>170965.0566568121</v>
      </c>
      <c r="L209" s="3">
        <v>1.066846521764242</v>
      </c>
      <c r="M209" s="3">
        <v>1622.9726956219</v>
      </c>
      <c r="N209" s="3">
        <v>2077.79525878531</v>
      </c>
      <c r="O209" s="3">
        <v>136007.7272233781</v>
      </c>
    </row>
    <row r="210" ht="15.75" customHeight="1">
      <c r="A210" s="3" t="s">
        <v>55</v>
      </c>
      <c r="B210" s="3">
        <v>11.0</v>
      </c>
      <c r="C210" s="3" t="s">
        <v>363</v>
      </c>
      <c r="D210" s="3">
        <v>24024.0</v>
      </c>
      <c r="E210" s="3">
        <v>160252.719739</v>
      </c>
      <c r="F210" s="3">
        <v>0.0</v>
      </c>
      <c r="G210" s="3">
        <v>904.7777768623408</v>
      </c>
      <c r="H210" s="3">
        <v>9.552</v>
      </c>
      <c r="I210" s="3">
        <v>3230.074300000001</v>
      </c>
      <c r="J210" s="3">
        <v>4144.404076862342</v>
      </c>
      <c r="K210" s="3">
        <v>175109.4607336744</v>
      </c>
      <c r="L210" s="3">
        <v>1.092708198767992</v>
      </c>
      <c r="M210" s="3">
        <v>356.4931357179</v>
      </c>
      <c r="N210" s="3">
        <v>3787.910941144441</v>
      </c>
      <c r="O210" s="3">
        <v>139795.6381645225</v>
      </c>
    </row>
    <row r="211" ht="15.75" customHeight="1">
      <c r="A211" s="3" t="s">
        <v>55</v>
      </c>
      <c r="B211" s="3">
        <v>12.0</v>
      </c>
      <c r="C211" s="3" t="s">
        <v>364</v>
      </c>
      <c r="D211" s="3">
        <v>24024.0</v>
      </c>
      <c r="E211" s="3">
        <v>160252.719739</v>
      </c>
      <c r="F211" s="3">
        <v>0.0</v>
      </c>
      <c r="G211" s="3">
        <v>621.4549697509242</v>
      </c>
      <c r="H211" s="3">
        <v>17.512</v>
      </c>
      <c r="I211" s="3">
        <v>3150.026900000003</v>
      </c>
      <c r="J211" s="3">
        <v>3788.993869750927</v>
      </c>
      <c r="K211" s="3">
        <v>178898.4546034254</v>
      </c>
      <c r="L211" s="3">
        <v>1.116352065005781</v>
      </c>
      <c r="M211" s="3">
        <v>1404.8951850354</v>
      </c>
      <c r="N211" s="3">
        <v>2384.098684715527</v>
      </c>
      <c r="O211" s="3">
        <v>142179.736849238</v>
      </c>
    </row>
    <row r="212" ht="15.75" customHeight="1">
      <c r="A212" s="3" t="s">
        <v>55</v>
      </c>
      <c r="B212" s="3">
        <v>13.0</v>
      </c>
      <c r="C212" s="3" t="s">
        <v>365</v>
      </c>
      <c r="D212" s="3">
        <v>24024.0</v>
      </c>
      <c r="E212" s="3">
        <v>160252.719739</v>
      </c>
      <c r="F212" s="3">
        <v>0.0</v>
      </c>
      <c r="G212" s="3">
        <v>406.8760412064626</v>
      </c>
      <c r="H212" s="3">
        <v>12.736</v>
      </c>
      <c r="I212" s="3">
        <v>4584.044300000001</v>
      </c>
      <c r="J212" s="3">
        <v>5003.656341206464</v>
      </c>
      <c r="K212" s="3">
        <v>183902.1109446318</v>
      </c>
      <c r="L212" s="3">
        <v>1.147575599616338</v>
      </c>
      <c r="M212" s="3">
        <v>2459.2313407481</v>
      </c>
      <c r="N212" s="3">
        <v>2544.425000458365</v>
      </c>
      <c r="O212" s="3">
        <v>144724.1618496964</v>
      </c>
    </row>
    <row r="213" ht="15.75" customHeight="1">
      <c r="A213" s="3" t="s">
        <v>55</v>
      </c>
      <c r="B213" s="3">
        <v>14.0</v>
      </c>
      <c r="C213" s="3" t="s">
        <v>366</v>
      </c>
      <c r="D213" s="3">
        <v>24024.0</v>
      </c>
      <c r="E213" s="3">
        <v>160252.719739</v>
      </c>
      <c r="F213" s="3">
        <v>0.0</v>
      </c>
      <c r="G213" s="3">
        <v>414.7284270205004</v>
      </c>
      <c r="H213" s="3">
        <v>7.960000000000001</v>
      </c>
      <c r="I213" s="3">
        <v>4849.177200000001</v>
      </c>
      <c r="J213" s="3">
        <v>5271.865627020501</v>
      </c>
      <c r="K213" s="3">
        <v>189173.9765716524</v>
      </c>
      <c r="L213" s="3">
        <v>1.180472798712907</v>
      </c>
      <c r="M213" s="3">
        <v>1930.7131946871</v>
      </c>
      <c r="N213" s="3">
        <v>3341.152432333401</v>
      </c>
      <c r="O213" s="3">
        <v>148065.3142820298</v>
      </c>
    </row>
    <row r="214" ht="15.75" customHeight="1">
      <c r="A214" s="3" t="s">
        <v>55</v>
      </c>
      <c r="B214" s="3">
        <v>15.0</v>
      </c>
      <c r="C214" s="3" t="s">
        <v>367</v>
      </c>
      <c r="D214" s="3">
        <v>24024.0</v>
      </c>
      <c r="E214" s="3">
        <v>160252.719739</v>
      </c>
      <c r="F214" s="3">
        <v>0.0</v>
      </c>
      <c r="G214" s="3">
        <v>723.8867666006859</v>
      </c>
      <c r="H214" s="3">
        <v>7.960000000000001</v>
      </c>
      <c r="I214" s="3">
        <v>2767.411600000002</v>
      </c>
      <c r="J214" s="3">
        <v>3499.258366600688</v>
      </c>
      <c r="K214" s="3">
        <v>192673.234938253</v>
      </c>
      <c r="L214" s="3">
        <v>1.20230867377512</v>
      </c>
      <c r="M214" s="3">
        <v>4335.5632810332</v>
      </c>
      <c r="N214" s="3">
        <v>-836.3049144325123</v>
      </c>
      <c r="O214" s="3">
        <v>147229.0093675973</v>
      </c>
    </row>
    <row r="215" ht="15.75" customHeight="1">
      <c r="A215" s="3" t="s">
        <v>55</v>
      </c>
      <c r="B215" s="3">
        <v>16.0</v>
      </c>
      <c r="C215" s="3" t="s">
        <v>368</v>
      </c>
      <c r="D215" s="3">
        <v>24024.0</v>
      </c>
      <c r="E215" s="3">
        <v>160252.719739</v>
      </c>
      <c r="F215" s="3">
        <v>0.0</v>
      </c>
      <c r="G215" s="3">
        <v>445.6327265517972</v>
      </c>
      <c r="H215" s="3">
        <v>7.960000000000001</v>
      </c>
      <c r="I215" s="3">
        <v>3168.265300000001</v>
      </c>
      <c r="J215" s="3">
        <v>3621.858026551798</v>
      </c>
      <c r="K215" s="3">
        <v>196295.0929648048</v>
      </c>
      <c r="L215" s="3">
        <v>1.224909588333392</v>
      </c>
      <c r="M215" s="3">
        <v>218.6044626917</v>
      </c>
      <c r="N215" s="3">
        <v>3403.253563860098</v>
      </c>
      <c r="O215" s="3">
        <v>150632.2629314574</v>
      </c>
    </row>
    <row r="216" ht="15.75" customHeight="1">
      <c r="A216" s="3" t="s">
        <v>56</v>
      </c>
      <c r="B216" s="3">
        <v>0.0</v>
      </c>
      <c r="C216" s="3" t="s">
        <v>56</v>
      </c>
      <c r="D216" s="3">
        <v>23008.0</v>
      </c>
      <c r="E216" s="3">
        <v>132959.208687</v>
      </c>
      <c r="F216" s="3">
        <v>0.0</v>
      </c>
      <c r="G216" s="3">
        <v>170.4720399960648</v>
      </c>
      <c r="H216" s="3">
        <v>3.184</v>
      </c>
      <c r="I216" s="3">
        <v>3255.95509999995</v>
      </c>
      <c r="J216" s="3">
        <v>3429.611139996015</v>
      </c>
      <c r="K216" s="3">
        <v>3429.611139996015</v>
      </c>
      <c r="L216" s="3">
        <v>0.0257944611273197</v>
      </c>
      <c r="M216" s="3">
        <v>340.1550627156</v>
      </c>
      <c r="N216" s="3">
        <v>3089.456077280415</v>
      </c>
      <c r="O216" s="3">
        <v>3089.456077280415</v>
      </c>
      <c r="P216" s="3">
        <v>9.3</v>
      </c>
    </row>
    <row r="217" ht="15.75" customHeight="1">
      <c r="A217" s="3" t="s">
        <v>56</v>
      </c>
      <c r="B217" s="3">
        <v>1.0</v>
      </c>
      <c r="C217" s="3" t="s">
        <v>369</v>
      </c>
      <c r="D217" s="3">
        <v>23008.0</v>
      </c>
      <c r="E217" s="3">
        <v>132959.208687</v>
      </c>
      <c r="F217" s="3">
        <v>0.0</v>
      </c>
      <c r="G217" s="3">
        <v>1197.702106476585</v>
      </c>
      <c r="H217" s="3">
        <v>15.92</v>
      </c>
      <c r="I217" s="3">
        <v>9710.348399999662</v>
      </c>
      <c r="J217" s="3">
        <v>10923.97050647625</v>
      </c>
      <c r="K217" s="3">
        <v>14353.58164647226</v>
      </c>
      <c r="L217" s="3">
        <v>0.1079547764176463</v>
      </c>
      <c r="M217" s="3">
        <v>1488.2689386291</v>
      </c>
      <c r="N217" s="3">
        <v>9435.701567847149</v>
      </c>
      <c r="O217" s="3">
        <v>12525.15764512756</v>
      </c>
      <c r="P217" s="3">
        <v>9.3</v>
      </c>
    </row>
    <row r="218" ht="15.75" customHeight="1">
      <c r="A218" s="3" t="s">
        <v>56</v>
      </c>
      <c r="B218" s="3">
        <v>2.0</v>
      </c>
      <c r="C218" s="3" t="s">
        <v>370</v>
      </c>
      <c r="D218" s="3">
        <v>23008.0</v>
      </c>
      <c r="E218" s="3">
        <v>132959.208687</v>
      </c>
      <c r="F218" s="3">
        <v>0.0</v>
      </c>
      <c r="G218" s="3">
        <v>3216.834923226955</v>
      </c>
      <c r="H218" s="3">
        <v>38.20799999999999</v>
      </c>
      <c r="I218" s="3">
        <v>10914.95389999974</v>
      </c>
      <c r="J218" s="3">
        <v>14169.99682322669</v>
      </c>
      <c r="K218" s="3">
        <v>28523.57846969896</v>
      </c>
      <c r="L218" s="3">
        <v>0.2145287923369525</v>
      </c>
      <c r="M218" s="3">
        <v>5812.1736621559</v>
      </c>
      <c r="N218" s="3">
        <v>8357.823161070792</v>
      </c>
      <c r="O218" s="3">
        <v>20882.98080619836</v>
      </c>
      <c r="P218" s="3">
        <v>9.3</v>
      </c>
    </row>
    <row r="219" ht="15.75" customHeight="1">
      <c r="A219" s="3" t="s">
        <v>56</v>
      </c>
      <c r="B219" s="3">
        <v>3.0</v>
      </c>
      <c r="C219" s="3" t="s">
        <v>371</v>
      </c>
      <c r="D219" s="3">
        <v>23008.0</v>
      </c>
      <c r="E219" s="3">
        <v>132959.208687</v>
      </c>
      <c r="F219" s="3">
        <v>0.0</v>
      </c>
      <c r="G219" s="3">
        <v>3203.685006307832</v>
      </c>
      <c r="H219" s="3">
        <v>50.94399999999998</v>
      </c>
      <c r="I219" s="3">
        <v>39350.00730000121</v>
      </c>
      <c r="J219" s="3">
        <v>42604.63630630905</v>
      </c>
      <c r="K219" s="3">
        <v>71128.21477600801</v>
      </c>
      <c r="L219" s="3">
        <v>0.5349626812494902</v>
      </c>
      <c r="M219" s="3">
        <v>3696.9530258888</v>
      </c>
      <c r="N219" s="3">
        <v>38907.68328042025</v>
      </c>
      <c r="O219" s="3">
        <v>59790.66408661861</v>
      </c>
      <c r="P219" s="3">
        <v>9.3</v>
      </c>
    </row>
    <row r="220" ht="15.75" customHeight="1">
      <c r="A220" s="3" t="s">
        <v>56</v>
      </c>
      <c r="B220" s="3">
        <v>4.0</v>
      </c>
      <c r="C220" s="3" t="s">
        <v>372</v>
      </c>
      <c r="D220" s="3">
        <v>23008.0</v>
      </c>
      <c r="E220" s="3">
        <v>132959.208687</v>
      </c>
      <c r="F220" s="3">
        <v>0.0</v>
      </c>
      <c r="G220" s="3">
        <v>4729.898528210895</v>
      </c>
      <c r="H220" s="3">
        <v>50.94399999999998</v>
      </c>
      <c r="I220" s="3">
        <v>29102.0295000011</v>
      </c>
      <c r="J220" s="3">
        <v>33882.872028212</v>
      </c>
      <c r="K220" s="3">
        <v>105011.08680422</v>
      </c>
      <c r="L220" s="3">
        <v>0.7897992763436733</v>
      </c>
      <c r="M220" s="3">
        <v>8255.7750117171</v>
      </c>
      <c r="N220" s="3">
        <v>25627.0970164949</v>
      </c>
      <c r="O220" s="3">
        <v>85417.7611031135</v>
      </c>
      <c r="P220" s="3">
        <v>9.3</v>
      </c>
    </row>
    <row r="221" ht="15.75" customHeight="1">
      <c r="A221" s="3" t="s">
        <v>56</v>
      </c>
      <c r="B221" s="3">
        <v>5.0</v>
      </c>
      <c r="C221" s="3" t="s">
        <v>373</v>
      </c>
      <c r="D221" s="3">
        <v>23008.0</v>
      </c>
      <c r="E221" s="3">
        <v>132959.208687</v>
      </c>
      <c r="F221" s="3">
        <v>0.0</v>
      </c>
      <c r="G221" s="3">
        <v>2447.655492991298</v>
      </c>
      <c r="H221" s="3">
        <v>47.75999999999998</v>
      </c>
      <c r="I221" s="3">
        <v>8396.836599999911</v>
      </c>
      <c r="J221" s="3">
        <v>10892.25209299121</v>
      </c>
      <c r="K221" s="3">
        <v>115903.3388972112</v>
      </c>
      <c r="L221" s="3">
        <v>0.8717210341561218</v>
      </c>
      <c r="M221" s="3">
        <v>3325.5671335087</v>
      </c>
      <c r="N221" s="3">
        <v>7566.68495948251</v>
      </c>
      <c r="O221" s="3">
        <v>92984.446062596</v>
      </c>
      <c r="P221" s="3">
        <v>9.3</v>
      </c>
    </row>
    <row r="222" ht="15.75" customHeight="1">
      <c r="A222" s="3" t="s">
        <v>56</v>
      </c>
      <c r="B222" s="3">
        <v>6.0</v>
      </c>
      <c r="C222" s="3" t="s">
        <v>374</v>
      </c>
      <c r="D222" s="3">
        <v>23008.0</v>
      </c>
      <c r="E222" s="3">
        <v>132959.208687</v>
      </c>
      <c r="F222" s="3">
        <v>0.0</v>
      </c>
      <c r="G222" s="3">
        <v>1682.212151895153</v>
      </c>
      <c r="H222" s="3">
        <v>35.02399999999999</v>
      </c>
      <c r="I222" s="3">
        <v>11959.92069999991</v>
      </c>
      <c r="J222" s="3">
        <v>13677.15685189507</v>
      </c>
      <c r="K222" s="3">
        <v>129580.4957491063</v>
      </c>
      <c r="L222" s="3">
        <v>0.9745883495302116</v>
      </c>
      <c r="M222" s="3">
        <v>5406.119081428698</v>
      </c>
      <c r="N222" s="3">
        <v>8271.037770466368</v>
      </c>
      <c r="O222" s="3">
        <v>101255.4838330624</v>
      </c>
      <c r="P222" s="3">
        <v>9.3</v>
      </c>
    </row>
    <row r="223" ht="15.75" customHeight="1">
      <c r="A223" s="3" t="s">
        <v>56</v>
      </c>
      <c r="B223" s="3">
        <v>7.0</v>
      </c>
      <c r="C223" s="3" t="s">
        <v>375</v>
      </c>
      <c r="D223" s="3">
        <v>23008.0</v>
      </c>
      <c r="E223" s="3">
        <v>132959.208687</v>
      </c>
      <c r="F223" s="3">
        <v>0.0</v>
      </c>
      <c r="G223" s="3">
        <v>1100.068921438186</v>
      </c>
      <c r="H223" s="3">
        <v>23.88</v>
      </c>
      <c r="I223" s="3">
        <v>18276.03789999997</v>
      </c>
      <c r="J223" s="3">
        <v>19399.98682143816</v>
      </c>
      <c r="K223" s="3">
        <v>148980.4825705444</v>
      </c>
      <c r="L223" s="3">
        <v>1.120497662717445</v>
      </c>
      <c r="M223" s="3">
        <v>3943.2952056598</v>
      </c>
      <c r="N223" s="3">
        <v>15456.69161577835</v>
      </c>
      <c r="O223" s="3">
        <v>116712.1754488407</v>
      </c>
      <c r="P223" s="3">
        <v>9.3</v>
      </c>
    </row>
    <row r="224" ht="15.75" customHeight="1">
      <c r="A224" s="3" t="s">
        <v>56</v>
      </c>
      <c r="B224" s="3">
        <v>8.0</v>
      </c>
      <c r="C224" s="3" t="s">
        <v>376</v>
      </c>
      <c r="D224" s="3">
        <v>23008.0</v>
      </c>
      <c r="E224" s="3">
        <v>132959.208687</v>
      </c>
      <c r="F224" s="3">
        <v>0.0</v>
      </c>
      <c r="G224" s="3">
        <v>852.8070271711958</v>
      </c>
      <c r="H224" s="3">
        <v>25.472</v>
      </c>
      <c r="I224" s="3">
        <v>25675.58340000019</v>
      </c>
      <c r="J224" s="3">
        <v>26553.86242717139</v>
      </c>
      <c r="K224" s="3">
        <v>175534.3449977158</v>
      </c>
      <c r="L224" s="3">
        <v>1.320212016385734</v>
      </c>
      <c r="M224" s="3">
        <v>14321.9308391994</v>
      </c>
      <c r="N224" s="3">
        <v>12231.93158797199</v>
      </c>
      <c r="O224" s="3">
        <v>128944.1070368127</v>
      </c>
      <c r="P224" s="3">
        <v>9.3</v>
      </c>
    </row>
    <row r="225" ht="15.75" customHeight="1">
      <c r="A225" s="3" t="s">
        <v>56</v>
      </c>
      <c r="B225" s="3">
        <v>9.0</v>
      </c>
      <c r="C225" s="3" t="s">
        <v>377</v>
      </c>
      <c r="D225" s="3">
        <v>23008.0</v>
      </c>
      <c r="E225" s="3">
        <v>132959.208687</v>
      </c>
      <c r="F225" s="3">
        <v>0.0</v>
      </c>
      <c r="G225" s="3">
        <v>666.5601664732061</v>
      </c>
      <c r="H225" s="3">
        <v>25.472</v>
      </c>
      <c r="I225" s="3">
        <v>6786.351599999991</v>
      </c>
      <c r="J225" s="3">
        <v>7478.383766473197</v>
      </c>
      <c r="K225" s="3">
        <v>183012.728764189</v>
      </c>
      <c r="L225" s="3">
        <v>1.376457716403986</v>
      </c>
      <c r="M225" s="3">
        <v>8112.483106705999</v>
      </c>
      <c r="N225" s="3">
        <v>-634.0993402328022</v>
      </c>
      <c r="O225" s="3">
        <v>128310.0076965799</v>
      </c>
      <c r="P225" s="3">
        <v>9.3</v>
      </c>
    </row>
    <row r="226" ht="15.75" customHeight="1">
      <c r="A226" s="3" t="s">
        <v>56</v>
      </c>
      <c r="B226" s="3">
        <v>10.0</v>
      </c>
      <c r="C226" s="3" t="s">
        <v>378</v>
      </c>
      <c r="D226" s="3">
        <v>23008.0</v>
      </c>
      <c r="E226" s="3">
        <v>132959.208687</v>
      </c>
      <c r="F226" s="3">
        <v>0.0</v>
      </c>
      <c r="G226" s="3">
        <v>878.1175856086875</v>
      </c>
      <c r="H226" s="3">
        <v>19.104</v>
      </c>
      <c r="I226" s="3">
        <v>21579.68360000004</v>
      </c>
      <c r="J226" s="3">
        <v>22476.90518560872</v>
      </c>
      <c r="K226" s="3">
        <v>205489.6339497977</v>
      </c>
      <c r="L226" s="3">
        <v>1.545508851767778</v>
      </c>
      <c r="M226" s="3">
        <v>6232.251932165301</v>
      </c>
      <c r="N226" s="3">
        <v>16244.65325344342</v>
      </c>
      <c r="O226" s="3">
        <v>144554.6609500233</v>
      </c>
      <c r="P226" s="3">
        <v>9.3</v>
      </c>
    </row>
    <row r="227" ht="15.75" customHeight="1">
      <c r="A227" s="3" t="s">
        <v>56</v>
      </c>
      <c r="B227" s="3">
        <v>11.0</v>
      </c>
      <c r="C227" s="3" t="s">
        <v>379</v>
      </c>
      <c r="D227" s="3">
        <v>23008.0</v>
      </c>
      <c r="E227" s="3">
        <v>132959.208687</v>
      </c>
      <c r="F227" s="3">
        <v>0.0</v>
      </c>
      <c r="G227" s="3">
        <v>825.5584816041604</v>
      </c>
      <c r="H227" s="3">
        <v>12.736</v>
      </c>
      <c r="I227" s="3">
        <v>10917.79809999999</v>
      </c>
      <c r="J227" s="3">
        <v>11756.09258160415</v>
      </c>
      <c r="K227" s="3">
        <v>217245.7265314018</v>
      </c>
      <c r="L227" s="3">
        <v>1.633927643498701</v>
      </c>
      <c r="M227" s="3">
        <v>6981.9588863763</v>
      </c>
      <c r="N227" s="3">
        <v>4774.133695227853</v>
      </c>
      <c r="O227" s="3">
        <v>149328.7946452512</v>
      </c>
      <c r="P227" s="3">
        <v>9.3</v>
      </c>
    </row>
    <row r="228" ht="15.75" customHeight="1">
      <c r="A228" s="3" t="s">
        <v>56</v>
      </c>
      <c r="B228" s="3">
        <v>12.0</v>
      </c>
      <c r="C228" s="3" t="s">
        <v>380</v>
      </c>
      <c r="D228" s="3">
        <v>23008.0</v>
      </c>
      <c r="E228" s="3">
        <v>132959.208687</v>
      </c>
      <c r="F228" s="3">
        <v>0.0</v>
      </c>
      <c r="G228" s="3">
        <v>709.1133832565777</v>
      </c>
      <c r="H228" s="3">
        <v>12.736</v>
      </c>
      <c r="I228" s="3">
        <v>13079.38299999999</v>
      </c>
      <c r="J228" s="3">
        <v>13801.23238325657</v>
      </c>
      <c r="K228" s="3">
        <v>231046.9589146584</v>
      </c>
      <c r="L228" s="3">
        <v>1.737728143814148</v>
      </c>
      <c r="M228" s="3">
        <v>6024.1348564083</v>
      </c>
      <c r="N228" s="3">
        <v>7777.097526848272</v>
      </c>
      <c r="O228" s="3">
        <v>157105.8921720994</v>
      </c>
      <c r="P228" s="3">
        <v>9.3</v>
      </c>
    </row>
    <row r="229" ht="15.75" customHeight="1">
      <c r="A229" s="3" t="s">
        <v>57</v>
      </c>
      <c r="B229" s="3">
        <v>0.0</v>
      </c>
      <c r="C229" s="3" t="s">
        <v>57</v>
      </c>
      <c r="D229" s="3">
        <v>32217.0</v>
      </c>
      <c r="E229" s="3">
        <v>205458.0077979999</v>
      </c>
      <c r="F229" s="3">
        <v>0.0</v>
      </c>
      <c r="G229" s="3">
        <v>1605.303628090001</v>
      </c>
      <c r="H229" s="3">
        <v>20.696</v>
      </c>
      <c r="I229" s="3">
        <v>10264.90209999977</v>
      </c>
      <c r="J229" s="3">
        <v>11890.90172808978</v>
      </c>
      <c r="K229" s="3">
        <v>11890.90172808978</v>
      </c>
      <c r="L229" s="3">
        <v>0.0578750950402505</v>
      </c>
      <c r="M229" s="3">
        <v>1633.022080932</v>
      </c>
      <c r="N229" s="3">
        <v>10257.87964715778</v>
      </c>
      <c r="O229" s="3">
        <v>10257.87964715778</v>
      </c>
    </row>
    <row r="230" ht="15.75" customHeight="1">
      <c r="A230" s="3" t="s">
        <v>57</v>
      </c>
      <c r="B230" s="3">
        <v>1.0</v>
      </c>
      <c r="C230" s="3" t="s">
        <v>345</v>
      </c>
      <c r="D230" s="3">
        <v>32217.0</v>
      </c>
      <c r="E230" s="3">
        <v>205458.0077979999</v>
      </c>
      <c r="F230" s="3">
        <v>0.0</v>
      </c>
      <c r="G230" s="3">
        <v>3727.114583566302</v>
      </c>
      <c r="H230" s="3">
        <v>58.90399999999998</v>
      </c>
      <c r="I230" s="3">
        <v>20556.92969999968</v>
      </c>
      <c r="J230" s="3">
        <v>24342.94828356599</v>
      </c>
      <c r="K230" s="3">
        <v>36233.85001165576</v>
      </c>
      <c r="L230" s="3">
        <v>0.1763564749799374</v>
      </c>
      <c r="M230" s="3">
        <v>2071.5097782239</v>
      </c>
      <c r="N230" s="3">
        <v>22271.43850534209</v>
      </c>
      <c r="O230" s="3">
        <v>32529.31815249987</v>
      </c>
    </row>
    <row r="231" ht="15.75" customHeight="1">
      <c r="A231" s="3" t="s">
        <v>57</v>
      </c>
      <c r="B231" s="3">
        <v>2.0</v>
      </c>
      <c r="C231" s="3" t="s">
        <v>346</v>
      </c>
      <c r="D231" s="3">
        <v>32217.0</v>
      </c>
      <c r="E231" s="3">
        <v>205458.0077979999</v>
      </c>
      <c r="F231" s="3">
        <v>0.0</v>
      </c>
      <c r="G231" s="3">
        <v>3653.955864773642</v>
      </c>
      <c r="H231" s="3">
        <v>46.16799999999999</v>
      </c>
      <c r="I231" s="3">
        <v>28722.43219999951</v>
      </c>
      <c r="J231" s="3">
        <v>32422.55606477315</v>
      </c>
      <c r="K231" s="3">
        <v>68656.40607642892</v>
      </c>
      <c r="L231" s="3">
        <v>0.3341627168113584</v>
      </c>
      <c r="M231" s="3">
        <v>4309.9579604856</v>
      </c>
      <c r="N231" s="3">
        <v>28112.59810428755</v>
      </c>
      <c r="O231" s="3">
        <v>60641.91625678742</v>
      </c>
    </row>
    <row r="232" ht="15.75" customHeight="1">
      <c r="A232" s="3" t="s">
        <v>57</v>
      </c>
      <c r="B232" s="3">
        <v>3.0</v>
      </c>
      <c r="C232" s="3" t="s">
        <v>347</v>
      </c>
      <c r="D232" s="3">
        <v>32217.0</v>
      </c>
      <c r="E232" s="3">
        <v>205458.0077979999</v>
      </c>
      <c r="F232" s="3">
        <v>0.0</v>
      </c>
      <c r="G232" s="3">
        <v>6067.734691015157</v>
      </c>
      <c r="H232" s="3">
        <v>68.45599999999997</v>
      </c>
      <c r="I232" s="3">
        <v>51649.91460000163</v>
      </c>
      <c r="J232" s="3">
        <v>57786.10529101679</v>
      </c>
      <c r="K232" s="3">
        <v>126442.5113674457</v>
      </c>
      <c r="L232" s="3">
        <v>0.6154177815826976</v>
      </c>
      <c r="M232" s="3">
        <v>17108.3776250922</v>
      </c>
      <c r="N232" s="3">
        <v>40677.72766592458</v>
      </c>
      <c r="O232" s="3">
        <v>101319.643922712</v>
      </c>
    </row>
    <row r="233" ht="15.75" customHeight="1">
      <c r="A233" s="3" t="s">
        <v>57</v>
      </c>
      <c r="B233" s="3">
        <v>4.0</v>
      </c>
      <c r="C233" s="3" t="s">
        <v>348</v>
      </c>
      <c r="D233" s="3">
        <v>32217.0</v>
      </c>
      <c r="E233" s="3">
        <v>205458.0077979999</v>
      </c>
      <c r="F233" s="3">
        <v>0.0</v>
      </c>
      <c r="G233" s="3">
        <v>5386.981545118344</v>
      </c>
      <c r="H233" s="3">
        <v>66.86399999999998</v>
      </c>
      <c r="I233" s="3">
        <v>35420.37799999955</v>
      </c>
      <c r="J233" s="3">
        <v>40874.22354511789</v>
      </c>
      <c r="K233" s="3">
        <v>167316.7349125636</v>
      </c>
      <c r="L233" s="3">
        <v>0.8143597648287543</v>
      </c>
      <c r="M233" s="3">
        <v>12558.7937840349</v>
      </c>
      <c r="N233" s="3">
        <v>28315.42976108299</v>
      </c>
      <c r="O233" s="3">
        <v>129635.073683795</v>
      </c>
    </row>
    <row r="234" ht="15.75" customHeight="1">
      <c r="A234" s="3" t="s">
        <v>57</v>
      </c>
      <c r="B234" s="3">
        <v>5.0</v>
      </c>
      <c r="C234" s="3" t="s">
        <v>349</v>
      </c>
      <c r="D234" s="3">
        <v>32217.0</v>
      </c>
      <c r="E234" s="3">
        <v>205458.0077979999</v>
      </c>
      <c r="F234" s="3">
        <v>0.0</v>
      </c>
      <c r="G234" s="3">
        <v>3279.714235065253</v>
      </c>
      <c r="H234" s="3">
        <v>49.35199999999998</v>
      </c>
      <c r="I234" s="3">
        <v>15182.73599999987</v>
      </c>
      <c r="J234" s="3">
        <v>18511.80223506512</v>
      </c>
      <c r="K234" s="3">
        <v>185828.5371476287</v>
      </c>
      <c r="L234" s="3">
        <v>0.9044599387449024</v>
      </c>
      <c r="M234" s="3">
        <v>5880.1968896253</v>
      </c>
      <c r="N234" s="3">
        <v>12631.60534543982</v>
      </c>
      <c r="O234" s="3">
        <v>142266.6790292348</v>
      </c>
    </row>
    <row r="235" ht="15.75" customHeight="1">
      <c r="A235" s="3" t="s">
        <v>57</v>
      </c>
      <c r="B235" s="3">
        <v>6.0</v>
      </c>
      <c r="C235" s="3" t="s">
        <v>350</v>
      </c>
      <c r="D235" s="3">
        <v>32217.0</v>
      </c>
      <c r="E235" s="3">
        <v>205458.0077979999</v>
      </c>
      <c r="F235" s="3">
        <v>0.0</v>
      </c>
      <c r="G235" s="3">
        <v>2562.909611601506</v>
      </c>
      <c r="H235" s="3">
        <v>46.16799999999999</v>
      </c>
      <c r="I235" s="3">
        <v>15564.13909999988</v>
      </c>
      <c r="J235" s="3">
        <v>18173.21671160139</v>
      </c>
      <c r="K235" s="3">
        <v>204001.7538592301</v>
      </c>
      <c r="L235" s="3">
        <v>0.9929121577962462</v>
      </c>
      <c r="M235" s="3">
        <v>15097.0083274911</v>
      </c>
      <c r="N235" s="3">
        <v>3076.208384110287</v>
      </c>
      <c r="O235" s="3">
        <v>145342.8874133451</v>
      </c>
    </row>
    <row r="236" ht="15.75" customHeight="1">
      <c r="A236" s="3" t="s">
        <v>57</v>
      </c>
      <c r="B236" s="3">
        <v>7.0</v>
      </c>
      <c r="C236" s="3" t="s">
        <v>351</v>
      </c>
      <c r="D236" s="3">
        <v>32217.0</v>
      </c>
      <c r="E236" s="3">
        <v>205458.0077979999</v>
      </c>
      <c r="F236" s="3">
        <v>0.0</v>
      </c>
      <c r="G236" s="3">
        <v>1585.43025603738</v>
      </c>
      <c r="H236" s="3">
        <v>23.88</v>
      </c>
      <c r="I236" s="3">
        <v>20918.9094999999</v>
      </c>
      <c r="J236" s="3">
        <v>22528.21975603728</v>
      </c>
      <c r="K236" s="3">
        <v>226529.9736152674</v>
      </c>
      <c r="L236" s="3">
        <v>1.102560937113655</v>
      </c>
      <c r="M236" s="3">
        <v>7868.1117491472</v>
      </c>
      <c r="N236" s="3">
        <v>14660.10800689008</v>
      </c>
      <c r="O236" s="3">
        <v>160002.9954202352</v>
      </c>
    </row>
    <row r="237" ht="15.75" customHeight="1">
      <c r="A237" s="3" t="s">
        <v>57</v>
      </c>
      <c r="B237" s="3">
        <v>8.0</v>
      </c>
      <c r="C237" s="3" t="s">
        <v>352</v>
      </c>
      <c r="D237" s="3">
        <v>32217.0</v>
      </c>
      <c r="E237" s="3">
        <v>205458.0077979999</v>
      </c>
      <c r="F237" s="3">
        <v>0.0</v>
      </c>
      <c r="G237" s="3">
        <v>255.6149404661687</v>
      </c>
      <c r="H237" s="3">
        <v>1.592</v>
      </c>
      <c r="I237" s="3">
        <v>2565.6034</v>
      </c>
      <c r="J237" s="3">
        <v>2822.810340466169</v>
      </c>
      <c r="K237" s="3">
        <v>229352.7839557336</v>
      </c>
      <c r="L237" s="3">
        <v>1.116300047945692</v>
      </c>
      <c r="M237" s="3">
        <v>247.964094866</v>
      </c>
      <c r="N237" s="3">
        <v>2574.846245600169</v>
      </c>
      <c r="O237" s="3">
        <v>162577.8416658354</v>
      </c>
    </row>
    <row r="238" ht="15.75" customHeight="1">
      <c r="A238" s="3" t="s">
        <v>58</v>
      </c>
      <c r="B238" s="3">
        <v>0.0</v>
      </c>
      <c r="C238" s="3" t="s">
        <v>58</v>
      </c>
      <c r="D238" s="3">
        <v>30321.0</v>
      </c>
      <c r="E238" s="3">
        <v>184702.4292549999</v>
      </c>
      <c r="F238" s="3">
        <v>0.0</v>
      </c>
      <c r="G238" s="3">
        <v>1186.416168926417</v>
      </c>
      <c r="H238" s="3">
        <v>11.144</v>
      </c>
      <c r="I238" s="3">
        <v>15611.12509999976</v>
      </c>
      <c r="J238" s="3">
        <v>16808.68526892618</v>
      </c>
      <c r="K238" s="3">
        <v>16808.68526892618</v>
      </c>
      <c r="L238" s="3">
        <v>0.0910041375022746</v>
      </c>
      <c r="M238" s="3">
        <v>2142.313776775</v>
      </c>
      <c r="N238" s="3">
        <v>14666.37149215118</v>
      </c>
      <c r="O238" s="3">
        <v>14666.37149215118</v>
      </c>
    </row>
    <row r="239" ht="15.75" customHeight="1">
      <c r="A239" s="3" t="s">
        <v>58</v>
      </c>
      <c r="B239" s="3">
        <v>1.0</v>
      </c>
      <c r="C239" s="3" t="s">
        <v>271</v>
      </c>
      <c r="D239" s="3">
        <v>30321.0</v>
      </c>
      <c r="E239" s="3">
        <v>184702.4292549999</v>
      </c>
      <c r="F239" s="3">
        <v>0.0</v>
      </c>
      <c r="G239" s="3">
        <v>3509.359874491905</v>
      </c>
      <c r="H239" s="3">
        <v>38.20799999999999</v>
      </c>
      <c r="I239" s="3">
        <v>35815.41840000154</v>
      </c>
      <c r="J239" s="3">
        <v>39362.98627449344</v>
      </c>
      <c r="K239" s="3">
        <v>56171.67154341962</v>
      </c>
      <c r="L239" s="3">
        <v>0.3041198308543581</v>
      </c>
      <c r="M239" s="3">
        <v>6829.410783006</v>
      </c>
      <c r="N239" s="3">
        <v>32533.57549148744</v>
      </c>
      <c r="O239" s="3">
        <v>47199.94698363862</v>
      </c>
    </row>
    <row r="240" ht="15.75" customHeight="1">
      <c r="A240" s="3" t="s">
        <v>58</v>
      </c>
      <c r="B240" s="3">
        <v>2.0</v>
      </c>
      <c r="C240" s="3" t="s">
        <v>272</v>
      </c>
      <c r="D240" s="3">
        <v>30321.0</v>
      </c>
      <c r="E240" s="3">
        <v>184702.4292549999</v>
      </c>
      <c r="F240" s="3">
        <v>0.0</v>
      </c>
      <c r="G240" s="3">
        <v>5815.096216666728</v>
      </c>
      <c r="H240" s="3">
        <v>42.98399999999999</v>
      </c>
      <c r="I240" s="3">
        <v>31394.98699999926</v>
      </c>
      <c r="J240" s="3">
        <v>37253.06721666599</v>
      </c>
      <c r="K240" s="3">
        <v>93424.73876008562</v>
      </c>
      <c r="L240" s="3">
        <v>0.5058121819887034</v>
      </c>
      <c r="M240" s="3">
        <v>15797.8727021306</v>
      </c>
      <c r="N240" s="3">
        <v>21455.1945145354</v>
      </c>
      <c r="O240" s="3">
        <v>68655.14149817401</v>
      </c>
    </row>
    <row r="241" ht="15.75" customHeight="1">
      <c r="A241" s="3" t="s">
        <v>58</v>
      </c>
      <c r="B241" s="3">
        <v>3.0</v>
      </c>
      <c r="C241" s="3" t="s">
        <v>273</v>
      </c>
      <c r="D241" s="3">
        <v>30321.0</v>
      </c>
      <c r="E241" s="3">
        <v>184702.4292549999</v>
      </c>
      <c r="F241" s="3">
        <v>0.0</v>
      </c>
      <c r="G241" s="3">
        <v>6616.459248552163</v>
      </c>
      <c r="H241" s="3">
        <v>44.57599999999999</v>
      </c>
      <c r="I241" s="3">
        <v>37735.87149999925</v>
      </c>
      <c r="J241" s="3">
        <v>44396.90674855142</v>
      </c>
      <c r="K241" s="3">
        <v>137821.645508637</v>
      </c>
      <c r="L241" s="3">
        <v>0.7461820944345062</v>
      </c>
      <c r="M241" s="3">
        <v>8109.195951391199</v>
      </c>
      <c r="N241" s="3">
        <v>36287.71079716022</v>
      </c>
      <c r="O241" s="3">
        <v>104942.8522953342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2026-02-03T06:50:03Z</dcterms:created>
  <dc:creator>openpyxl</dc:creator>
</cp:coreProperties>
</file>